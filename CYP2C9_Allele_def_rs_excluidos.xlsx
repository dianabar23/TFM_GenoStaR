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bos\Proyecto_Diana\TFM_GenoStaR\"/>
    </mc:Choice>
  </mc:AlternateContent>
  <bookViews>
    <workbookView xWindow="0" yWindow="0" windowWidth="25200" windowHeight="11160" activeTab="1"/>
  </bookViews>
  <sheets>
    <sheet name="Salida_R" sheetId="1" r:id="rId1"/>
    <sheet name="Filtrada" sheetId="2" r:id="rId2"/>
  </sheets>
  <calcPr calcId="162913"/>
</workbook>
</file>

<file path=xl/calcChain.xml><?xml version="1.0" encoding="utf-8"?>
<calcChain xmlns="http://schemas.openxmlformats.org/spreadsheetml/2006/main">
  <c r="AP43" i="2" l="1"/>
</calcChain>
</file>

<file path=xl/sharedStrings.xml><?xml version="1.0" encoding="utf-8"?>
<sst xmlns="http://schemas.openxmlformats.org/spreadsheetml/2006/main" count="441" uniqueCount="153">
  <si>
    <t>rsID</t>
  </si>
  <si>
    <t>X</t>
  </si>
  <si>
    <t>rs67807361</t>
  </si>
  <si>
    <t>X.1</t>
  </si>
  <si>
    <t>rs1364419386</t>
  </si>
  <si>
    <t>rs2031308986</t>
  </si>
  <si>
    <t>X.2</t>
  </si>
  <si>
    <t>X.3</t>
  </si>
  <si>
    <t>X.4</t>
  </si>
  <si>
    <t>X.5</t>
  </si>
  <si>
    <t>rs1304490498</t>
  </si>
  <si>
    <t>rs375805362</t>
  </si>
  <si>
    <t>rs1375956433</t>
  </si>
  <si>
    <t>rs200183364</t>
  </si>
  <si>
    <t>rs141489852</t>
  </si>
  <si>
    <t>rs1289704600</t>
  </si>
  <si>
    <t>rs17847037</t>
  </si>
  <si>
    <t>X.6</t>
  </si>
  <si>
    <t>X.7</t>
  </si>
  <si>
    <t>rs2031531005</t>
  </si>
  <si>
    <t>rs370100007</t>
  </si>
  <si>
    <t>X.8</t>
  </si>
  <si>
    <t>X.9</t>
  </si>
  <si>
    <t>rs772782449</t>
  </si>
  <si>
    <t>X.10</t>
  </si>
  <si>
    <t>X.11</t>
  </si>
  <si>
    <t>X.12</t>
  </si>
  <si>
    <t>X.13</t>
  </si>
  <si>
    <t>X.14</t>
  </si>
  <si>
    <t>rs1297714792</t>
  </si>
  <si>
    <t>rs578144976</t>
  </si>
  <si>
    <t>X.15</t>
  </si>
  <si>
    <t>rs542577750</t>
  </si>
  <si>
    <t>rs1254213342</t>
  </si>
  <si>
    <t>rs1441296358</t>
  </si>
  <si>
    <t>rs776908257</t>
  </si>
  <si>
    <t>X.16</t>
  </si>
  <si>
    <t>X.17</t>
  </si>
  <si>
    <t>rs202201137</t>
  </si>
  <si>
    <t>rs767284820</t>
  </si>
  <si>
    <t>CYP2C9 Allele</t>
  </si>
  <si>
    <t>*1</t>
  </si>
  <si>
    <t>T</t>
  </si>
  <si>
    <t>C</t>
  </si>
  <si>
    <t>G</t>
  </si>
  <si>
    <t>A</t>
  </si>
  <si>
    <t>AGAAATGGAA</t>
  </si>
  <si>
    <t>*2</t>
  </si>
  <si>
    <t>*3</t>
  </si>
  <si>
    <t>*4</t>
  </si>
  <si>
    <t>*5</t>
  </si>
  <si>
    <t>*6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</si>
  <si>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</si>
  <si>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</si>
  <si>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</si>
  <si>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</si>
  <si>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</si>
  <si>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</si>
  <si>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</si>
  <si>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</si>
  <si>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</si>
  <si>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*16</t>
  </si>
  <si>
    <t>*17</t>
  </si>
  <si>
    <t>*18</t>
  </si>
  <si>
    <t>*19</t>
  </si>
  <si>
    <t>*20</t>
  </si>
  <si>
    <t>*21</t>
  </si>
  <si>
    <t>*22</t>
  </si>
  <si>
    <t>*23</t>
  </si>
  <si>
    <t>*24</t>
  </si>
  <si>
    <t>*25</t>
  </si>
  <si>
    <t>delAGAAATGGAA</t>
  </si>
  <si>
    <t>*26</t>
  </si>
  <si>
    <t>*27</t>
  </si>
  <si>
    <t>*28</t>
  </si>
  <si>
    <t>*29</t>
  </si>
  <si>
    <t>*30</t>
  </si>
  <si>
    <t>*31</t>
  </si>
  <si>
    <t>*32</t>
  </si>
  <si>
    <t>*33</t>
  </si>
  <si>
    <t>*34</t>
  </si>
  <si>
    <t>*35</t>
  </si>
  <si>
    <t>*36</t>
  </si>
  <si>
    <t>*37</t>
  </si>
  <si>
    <t>*38</t>
  </si>
  <si>
    <t>*39</t>
  </si>
  <si>
    <t>*40</t>
  </si>
  <si>
    <t>*41</t>
  </si>
  <si>
    <t>*42</t>
  </si>
  <si>
    <t>*43</t>
  </si>
  <si>
    <t>*44</t>
  </si>
  <si>
    <t>*45</t>
  </si>
  <si>
    <t>*46</t>
  </si>
  <si>
    <t>*47</t>
  </si>
  <si>
    <t>*48</t>
  </si>
  <si>
    <t>*49</t>
  </si>
  <si>
    <t>*50</t>
  </si>
  <si>
    <t>*51</t>
  </si>
  <si>
    <t>*52</t>
  </si>
  <si>
    <t>*53</t>
  </si>
  <si>
    <t>*54</t>
  </si>
  <si>
    <t>*55</t>
  </si>
  <si>
    <t>*56</t>
  </si>
  <si>
    <t>*57</t>
  </si>
  <si>
    <t>*58</t>
  </si>
  <si>
    <t>*59</t>
  </si>
  <si>
    <t>*60</t>
  </si>
  <si>
    <t>*61</t>
  </si>
  <si>
    <t>*62</t>
  </si>
  <si>
    <t>*63</t>
  </si>
  <si>
    <t>*64</t>
  </si>
  <si>
    <t>*65</t>
  </si>
  <si>
    <t>*66</t>
  </si>
  <si>
    <t>*67</t>
  </si>
  <si>
    <t>*68</t>
  </si>
  <si>
    <t>*69</t>
  </si>
  <si>
    <t>*70</t>
  </si>
  <si>
    <t>*71</t>
  </si>
  <si>
    <t>*72</t>
  </si>
  <si>
    <t>*73</t>
  </si>
  <si>
    <t>*74</t>
  </si>
  <si>
    <t>*75</t>
  </si>
  <si>
    <t>*76</t>
  </si>
  <si>
    <t>*77</t>
  </si>
  <si>
    <t>*78</t>
  </si>
  <si>
    <t>*79</t>
  </si>
  <si>
    <t>*80</t>
  </si>
  <si>
    <t>*81</t>
  </si>
  <si>
    <t>*82</t>
  </si>
  <si>
    <t>*83</t>
  </si>
  <si>
    <t>*84</t>
  </si>
  <si>
    <t>*85</t>
  </si>
  <si>
    <t>delT</t>
  </si>
  <si>
    <t>rs/*alelo</t>
  </si>
  <si>
    <t>MAF European (non-finnish)</t>
  </si>
  <si>
    <t>Base de datos</t>
  </si>
  <si>
    <t>Link</t>
  </si>
  <si>
    <t>Error</t>
  </si>
  <si>
    <t>GenomAD</t>
  </si>
  <si>
    <t>https://gnomad.broadinstitute.org/variant/10-94938737-C-A?dataset=gnomad_r4</t>
  </si>
  <si>
    <t>https://gnomad.broadinstitute.org/variant/10-94938803-A-G?dataset=gnomad_r4</t>
  </si>
  <si>
    <t>https://gnomad.broadinstitute.org/variant/10-94942205-CAATGGAAAGA-C?dataset=gnomad_r4</t>
  </si>
  <si>
    <t>https://gnomad.broadinstitute.org/variant/10-94947938-A-T?dataset=gnomad_r4</t>
  </si>
  <si>
    <t>https://gnomad.broadinstitute.org/variant/10-94942255-G-A?dataset=gnomad_r4</t>
  </si>
  <si>
    <t>https://gnomad.broadinstitute.org/variant/10-94988925-A-G?dataset=gnomad_r4</t>
  </si>
  <si>
    <t>ClinPGX</t>
  </si>
  <si>
    <t>https://gnomad.broadinstitute.org/variant/10-94981371-G-A?dataset=gnomad_r4</t>
  </si>
  <si>
    <t>https://gnomad.broadinstitute.org/variant/10-94947939-G-T?dataset=gnomad_r4</t>
  </si>
  <si>
    <t>https://gnomad.broadinstitute.org/variant/10-94938800-G-A?dataset=gnomad_r4</t>
  </si>
  <si>
    <t>https://gnomad.broadinstitute.org/variant/10-94942243-T-G?dataset=gnomad_r4</t>
  </si>
  <si>
    <t>https://gnomad.broadinstitute.org/variant/10-94981258-C-T?dataset=gnomad_r4</t>
  </si>
  <si>
    <t>https://gnomad.broadinstitute.org/variant/10-94949145-C-T?dataset=gnomad_r4</t>
  </si>
  <si>
    <t>https://gnomad.broadinstitute.org/variant/10-94986174-G-C?dataset=gnomad_r4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</si>
</sst>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1" fillId="4" borderId="1" xfId="0" applyFont="1" applyFill="1" applyBorder="1" applyAlignment="1">
      <alignment horizontal="center"/>
    </xf>
    <xf numFmtId="0" fontId="2" fillId="2" borderId="1" xfId="1" applyFill="1" applyBorder="1"/>
    <xf numFmtId="11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nomad.broadinstitute.org/variant/10-94947938-A-T?dataset=gnomad_r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workbookViewId="0">
      <selection sqref="A1:XFD1048576"/>
    </sheetView>
  </sheetViews>
  <sheetFormatPr baseColWidth="10" defaultColWidth="9.140625" defaultRowHeight="15" x14ac:dyDescent="0.25"/>
  <sheetData>
    <row r="1" spans="1:4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</row>
    <row r="3" spans="1:40" x14ac:dyDescent="0.25">
      <c r="A3" t="s">
        <v>41</v>
      </c>
      <c r="B3" t="s">
        <v>42</v>
      </c>
      <c r="C3" t="s">
        <v>43</v>
      </c>
      <c r="D3" t="s">
        <v>43</v>
      </c>
      <c r="E3" t="s">
        <v>44</v>
      </c>
      <c r="F3" t="s">
        <v>45</v>
      </c>
      <c r="G3" t="s">
        <v>44</v>
      </c>
      <c r="H3" t="s">
        <v>44</v>
      </c>
      <c r="I3" t="s">
        <v>44</v>
      </c>
      <c r="J3" t="s">
        <v>42</v>
      </c>
      <c r="K3" t="s">
        <v>46</v>
      </c>
      <c r="L3" t="s">
        <v>43</v>
      </c>
      <c r="M3" t="s">
        <v>42</v>
      </c>
      <c r="N3" t="s">
        <v>44</v>
      </c>
      <c r="O3" t="s">
        <v>44</v>
      </c>
      <c r="P3" t="s">
        <v>43</v>
      </c>
      <c r="Q3" t="s">
        <v>43</v>
      </c>
      <c r="R3" t="s">
        <v>45</v>
      </c>
      <c r="S3" t="s">
        <v>45</v>
      </c>
      <c r="T3" t="s">
        <v>45</v>
      </c>
      <c r="U3" t="s">
        <v>44</v>
      </c>
      <c r="V3" t="s">
        <v>45</v>
      </c>
      <c r="W3" t="s">
        <v>43</v>
      </c>
      <c r="X3" t="s">
        <v>43</v>
      </c>
      <c r="Y3" t="s">
        <v>42</v>
      </c>
      <c r="Z3" t="s">
        <v>43</v>
      </c>
      <c r="AA3" t="s">
        <v>45</v>
      </c>
      <c r="AB3" t="s">
        <v>45</v>
      </c>
      <c r="AC3" t="s">
        <v>44</v>
      </c>
      <c r="AD3" t="s">
        <v>43</v>
      </c>
      <c r="AE3" t="s">
        <v>43</v>
      </c>
      <c r="AF3" t="s">
        <v>43</v>
      </c>
      <c r="AG3" t="s">
        <v>44</v>
      </c>
      <c r="AH3" t="s">
        <v>45</v>
      </c>
      <c r="AI3" t="s">
        <v>44</v>
      </c>
      <c r="AJ3" t="s">
        <v>43</v>
      </c>
      <c r="AK3" t="s">
        <v>45</v>
      </c>
      <c r="AL3" t="s">
        <v>44</v>
      </c>
      <c r="AM3" t="s">
        <v>45</v>
      </c>
      <c r="AN3" t="s">
        <v>42</v>
      </c>
    </row>
    <row r="4" spans="1:40" x14ac:dyDescent="0.25">
      <c r="A4" t="s">
        <v>47</v>
      </c>
    </row>
    <row r="5" spans="1:40" x14ac:dyDescent="0.25">
      <c r="A5" t="s">
        <v>48</v>
      </c>
    </row>
    <row r="6" spans="1:40" x14ac:dyDescent="0.25">
      <c r="A6" t="s">
        <v>49</v>
      </c>
    </row>
    <row r="7" spans="1:40" x14ac:dyDescent="0.25">
      <c r="A7" t="s">
        <v>50</v>
      </c>
    </row>
    <row r="8" spans="1:40" x14ac:dyDescent="0.25">
      <c r="A8" t="s">
        <v>51</v>
      </c>
    </row>
    <row r="9" spans="1:40" x14ac:dyDescent="0.25">
      <c r="A9" t="s">
        <v>52</v>
      </c>
      <c r="C9" t="s">
        <v>45</v>
      </c>
    </row>
    <row r="10" spans="1:40" x14ac:dyDescent="0.25">
      <c r="A10" t="s">
        <v>53</v>
      </c>
    </row>
    <row r="11" spans="1:40" x14ac:dyDescent="0.25">
      <c r="A11" t="s">
        <v>54</v>
      </c>
    </row>
    <row r="12" spans="1:40" x14ac:dyDescent="0.25">
      <c r="A12" t="s">
        <v>55</v>
      </c>
    </row>
    <row r="13" spans="1:40" x14ac:dyDescent="0.25">
      <c r="A13" t="s">
        <v>56</v>
      </c>
    </row>
    <row r="14" spans="1:40" x14ac:dyDescent="0.25">
      <c r="A14" t="s">
        <v>57</v>
      </c>
    </row>
    <row r="15" spans="1:40" x14ac:dyDescent="0.25">
      <c r="A15" t="s">
        <v>58</v>
      </c>
    </row>
    <row r="16" spans="1:40" x14ac:dyDescent="0.25">
      <c r="A16" t="s">
        <v>59</v>
      </c>
    </row>
    <row r="17" spans="1:32" x14ac:dyDescent="0.25">
      <c r="A17" t="s">
        <v>60</v>
      </c>
    </row>
    <row r="18" spans="1:32" x14ac:dyDescent="0.25">
      <c r="A18" t="s">
        <v>61</v>
      </c>
    </row>
    <row r="19" spans="1:32" x14ac:dyDescent="0.25">
      <c r="A19" t="s">
        <v>62</v>
      </c>
      <c r="AF19" t="s">
        <v>42</v>
      </c>
    </row>
    <row r="20" spans="1:32" x14ac:dyDescent="0.25">
      <c r="A20" t="s">
        <v>63</v>
      </c>
    </row>
    <row r="21" spans="1:32" x14ac:dyDescent="0.25">
      <c r="A21" t="s">
        <v>64</v>
      </c>
    </row>
    <row r="22" spans="1:32" x14ac:dyDescent="0.25">
      <c r="A22" t="s">
        <v>65</v>
      </c>
    </row>
    <row r="23" spans="1:32" x14ac:dyDescent="0.25">
      <c r="A23" t="s">
        <v>66</v>
      </c>
    </row>
    <row r="24" spans="1:32" x14ac:dyDescent="0.25">
      <c r="A24" t="s">
        <v>67</v>
      </c>
      <c r="F24" t="s">
        <v>44</v>
      </c>
    </row>
    <row r="25" spans="1:32" x14ac:dyDescent="0.25">
      <c r="A25" t="s">
        <v>68</v>
      </c>
      <c r="G25" t="s">
        <v>45</v>
      </c>
    </row>
    <row r="26" spans="1:32" x14ac:dyDescent="0.25">
      <c r="A26" t="s">
        <v>69</v>
      </c>
    </row>
    <row r="27" spans="1:32" x14ac:dyDescent="0.25">
      <c r="A27" t="s">
        <v>70</v>
      </c>
      <c r="K27" t="s">
        <v>71</v>
      </c>
    </row>
    <row r="28" spans="1:32" x14ac:dyDescent="0.25">
      <c r="A28" t="s">
        <v>72</v>
      </c>
    </row>
    <row r="29" spans="1:32" x14ac:dyDescent="0.25">
      <c r="A29" t="s">
        <v>73</v>
      </c>
    </row>
    <row r="30" spans="1:32" x14ac:dyDescent="0.25">
      <c r="A30" t="s">
        <v>74</v>
      </c>
      <c r="T30" t="s">
        <v>42</v>
      </c>
    </row>
    <row r="31" spans="1:32" x14ac:dyDescent="0.25">
      <c r="A31" t="s">
        <v>75</v>
      </c>
    </row>
    <row r="32" spans="1:32" x14ac:dyDescent="0.25">
      <c r="A32" t="s">
        <v>76</v>
      </c>
    </row>
    <row r="33" spans="1:14" x14ac:dyDescent="0.25">
      <c r="A33" t="s">
        <v>77</v>
      </c>
    </row>
    <row r="34" spans="1:14" x14ac:dyDescent="0.25">
      <c r="A34" t="s">
        <v>78</v>
      </c>
    </row>
    <row r="35" spans="1:14" x14ac:dyDescent="0.25">
      <c r="A35" t="s">
        <v>79</v>
      </c>
      <c r="N35" t="s">
        <v>45</v>
      </c>
    </row>
    <row r="36" spans="1:14" x14ac:dyDescent="0.25">
      <c r="A36" t="s">
        <v>80</v>
      </c>
    </row>
    <row r="37" spans="1:14" x14ac:dyDescent="0.25">
      <c r="A37" t="s">
        <v>81</v>
      </c>
    </row>
    <row r="38" spans="1:14" x14ac:dyDescent="0.25">
      <c r="A38" t="s">
        <v>82</v>
      </c>
    </row>
    <row r="39" spans="1:14" x14ac:dyDescent="0.25">
      <c r="A39" t="s">
        <v>83</v>
      </c>
    </row>
    <row r="40" spans="1:14" x14ac:dyDescent="0.25">
      <c r="A40" t="s">
        <v>84</v>
      </c>
      <c r="I40" t="s">
        <v>43</v>
      </c>
    </row>
    <row r="41" spans="1:14" x14ac:dyDescent="0.25">
      <c r="A41" t="s">
        <v>85</v>
      </c>
    </row>
    <row r="42" spans="1:14" x14ac:dyDescent="0.25">
      <c r="A42" t="s">
        <v>86</v>
      </c>
      <c r="J42" t="s">
        <v>43</v>
      </c>
    </row>
    <row r="43" spans="1:14" x14ac:dyDescent="0.25">
      <c r="A43" t="s">
        <v>87</v>
      </c>
    </row>
    <row r="44" spans="1:14" x14ac:dyDescent="0.25">
      <c r="A44" t="s">
        <v>88</v>
      </c>
    </row>
    <row r="45" spans="1:14" x14ac:dyDescent="0.25">
      <c r="A45" t="s">
        <v>89</v>
      </c>
    </row>
    <row r="46" spans="1:14" x14ac:dyDescent="0.25">
      <c r="A46" t="s">
        <v>90</v>
      </c>
    </row>
    <row r="47" spans="1:14" x14ac:dyDescent="0.25">
      <c r="A47" t="s">
        <v>91</v>
      </c>
    </row>
    <row r="48" spans="1:14" x14ac:dyDescent="0.25">
      <c r="A48" t="s">
        <v>92</v>
      </c>
    </row>
    <row r="49" spans="1:40" x14ac:dyDescent="0.25">
      <c r="A49" t="s">
        <v>93</v>
      </c>
    </row>
    <row r="50" spans="1:40" x14ac:dyDescent="0.25">
      <c r="A50" t="s">
        <v>94</v>
      </c>
    </row>
    <row r="51" spans="1:40" x14ac:dyDescent="0.25">
      <c r="A51" t="s">
        <v>95</v>
      </c>
      <c r="V51" t="s">
        <v>44</v>
      </c>
    </row>
    <row r="52" spans="1:40" x14ac:dyDescent="0.25">
      <c r="A52" t="s">
        <v>96</v>
      </c>
      <c r="W52" t="s">
        <v>42</v>
      </c>
    </row>
    <row r="53" spans="1:40" x14ac:dyDescent="0.25">
      <c r="A53" t="s">
        <v>97</v>
      </c>
      <c r="AA53" t="s">
        <v>44</v>
      </c>
    </row>
    <row r="54" spans="1:40" x14ac:dyDescent="0.25">
      <c r="A54" t="s">
        <v>98</v>
      </c>
    </row>
    <row r="55" spans="1:40" x14ac:dyDescent="0.25">
      <c r="A55" t="s">
        <v>99</v>
      </c>
    </row>
    <row r="56" spans="1:40" x14ac:dyDescent="0.25">
      <c r="A56" t="s">
        <v>100</v>
      </c>
    </row>
    <row r="57" spans="1:40" x14ac:dyDescent="0.25">
      <c r="A57" t="s">
        <v>101</v>
      </c>
    </row>
    <row r="58" spans="1:40" x14ac:dyDescent="0.25">
      <c r="A58" t="s">
        <v>102</v>
      </c>
    </row>
    <row r="59" spans="1:40" x14ac:dyDescent="0.25">
      <c r="A59" t="s">
        <v>103</v>
      </c>
      <c r="S59" t="s">
        <v>43</v>
      </c>
    </row>
    <row r="60" spans="1:40" x14ac:dyDescent="0.25">
      <c r="A60" t="s">
        <v>104</v>
      </c>
    </row>
    <row r="61" spans="1:40" x14ac:dyDescent="0.25">
      <c r="A61" t="s">
        <v>105</v>
      </c>
      <c r="AK61" t="s">
        <v>42</v>
      </c>
    </row>
    <row r="62" spans="1:40" x14ac:dyDescent="0.25">
      <c r="A62" t="s">
        <v>106</v>
      </c>
      <c r="AN62" t="s">
        <v>43</v>
      </c>
    </row>
    <row r="63" spans="1:40" x14ac:dyDescent="0.25">
      <c r="A63" t="s">
        <v>107</v>
      </c>
      <c r="AM63" t="s">
        <v>44</v>
      </c>
    </row>
    <row r="64" spans="1:40" x14ac:dyDescent="0.25">
      <c r="A64" t="s">
        <v>108</v>
      </c>
      <c r="L64" t="s">
        <v>42</v>
      </c>
    </row>
    <row r="65" spans="1:38" x14ac:dyDescent="0.25">
      <c r="A65" t="s">
        <v>109</v>
      </c>
      <c r="O65" t="s">
        <v>45</v>
      </c>
    </row>
    <row r="66" spans="1:38" x14ac:dyDescent="0.25">
      <c r="A66" t="s">
        <v>110</v>
      </c>
      <c r="Z66" t="s">
        <v>44</v>
      </c>
    </row>
    <row r="67" spans="1:38" x14ac:dyDescent="0.25">
      <c r="A67" t="s">
        <v>111</v>
      </c>
      <c r="AC67" t="s">
        <v>42</v>
      </c>
    </row>
    <row r="68" spans="1:38" x14ac:dyDescent="0.25">
      <c r="A68" t="s">
        <v>112</v>
      </c>
      <c r="AE68" t="s">
        <v>44</v>
      </c>
    </row>
    <row r="69" spans="1:38" x14ac:dyDescent="0.25">
      <c r="A69" t="s">
        <v>113</v>
      </c>
      <c r="AJ69" t="s">
        <v>42</v>
      </c>
    </row>
    <row r="70" spans="1:38" x14ac:dyDescent="0.25">
      <c r="A70" t="s">
        <v>114</v>
      </c>
      <c r="AG70" t="s">
        <v>45</v>
      </c>
    </row>
    <row r="71" spans="1:38" x14ac:dyDescent="0.25">
      <c r="A71" t="s">
        <v>115</v>
      </c>
      <c r="R71" t="s">
        <v>44</v>
      </c>
    </row>
    <row r="72" spans="1:38" x14ac:dyDescent="0.25">
      <c r="A72" t="s">
        <v>116</v>
      </c>
      <c r="AL72" t="s">
        <v>42</v>
      </c>
    </row>
    <row r="73" spans="1:38" x14ac:dyDescent="0.25">
      <c r="A73" t="s">
        <v>117</v>
      </c>
    </row>
    <row r="74" spans="1:38" x14ac:dyDescent="0.25">
      <c r="A74" t="s">
        <v>118</v>
      </c>
      <c r="P74" t="s">
        <v>42</v>
      </c>
    </row>
    <row r="75" spans="1:38" x14ac:dyDescent="0.25">
      <c r="A75" t="s">
        <v>119</v>
      </c>
      <c r="Q75" t="s">
        <v>42</v>
      </c>
    </row>
    <row r="76" spans="1:38" x14ac:dyDescent="0.25">
      <c r="A76" t="s">
        <v>120</v>
      </c>
      <c r="U76" t="s">
        <v>42</v>
      </c>
    </row>
    <row r="77" spans="1:38" x14ac:dyDescent="0.25">
      <c r="A77" t="s">
        <v>121</v>
      </c>
      <c r="AH77" t="s">
        <v>43</v>
      </c>
    </row>
    <row r="78" spans="1:38" x14ac:dyDescent="0.25">
      <c r="A78" t="s">
        <v>122</v>
      </c>
      <c r="E78" t="s">
        <v>45</v>
      </c>
    </row>
    <row r="79" spans="1:38" x14ac:dyDescent="0.25">
      <c r="A79" t="s">
        <v>123</v>
      </c>
      <c r="H79" t="s">
        <v>45</v>
      </c>
    </row>
    <row r="80" spans="1:38" x14ac:dyDescent="0.25">
      <c r="A80" t="s">
        <v>124</v>
      </c>
      <c r="M80" t="s">
        <v>44</v>
      </c>
    </row>
    <row r="81" spans="1:35" x14ac:dyDescent="0.25">
      <c r="A81" t="s">
        <v>125</v>
      </c>
      <c r="AD81" t="s">
        <v>42</v>
      </c>
    </row>
    <row r="82" spans="1:35" x14ac:dyDescent="0.25">
      <c r="A82" t="s">
        <v>126</v>
      </c>
      <c r="B82" t="s">
        <v>44</v>
      </c>
    </row>
    <row r="83" spans="1:35" x14ac:dyDescent="0.25">
      <c r="A83" t="s">
        <v>127</v>
      </c>
      <c r="AB83" t="s">
        <v>42</v>
      </c>
    </row>
    <row r="84" spans="1:35" x14ac:dyDescent="0.25">
      <c r="A84" t="s">
        <v>128</v>
      </c>
      <c r="X84" t="s">
        <v>42</v>
      </c>
    </row>
    <row r="85" spans="1:35" x14ac:dyDescent="0.25">
      <c r="A85" t="s">
        <v>129</v>
      </c>
      <c r="D85" t="s">
        <v>42</v>
      </c>
    </row>
    <row r="86" spans="1:35" x14ac:dyDescent="0.25">
      <c r="A86" t="s">
        <v>130</v>
      </c>
      <c r="AI86" t="s">
        <v>43</v>
      </c>
    </row>
    <row r="87" spans="1:35" x14ac:dyDescent="0.25">
      <c r="A87" t="s">
        <v>131</v>
      </c>
      <c r="Y87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4"/>
  <sheetViews>
    <sheetView tabSelected="1" topLeftCell="X1" workbookViewId="0">
      <selection activeCell="AR41" sqref="AR41"/>
    </sheetView>
  </sheetViews>
  <sheetFormatPr baseColWidth="10" defaultColWidth="9.140625" defaultRowHeight="15" x14ac:dyDescent="0.25"/>
  <cols>
    <col min="1" max="39" width="9.140625" style="3"/>
    <col min="40" max="40" width="14.28515625" style="3" customWidth="1"/>
    <col min="41" max="41" width="20.5703125" style="3" customWidth="1"/>
    <col min="42" max="42" width="13" style="3" customWidth="1"/>
    <col min="43" max="16384" width="9.140625" style="3"/>
  </cols>
  <sheetData>
    <row r="1" spans="1:44" s="2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133</v>
      </c>
      <c r="AP1" s="4" t="s">
        <v>134</v>
      </c>
      <c r="AQ1" s="4" t="s">
        <v>135</v>
      </c>
      <c r="AR1" s="4" t="s">
        <v>136</v>
      </c>
    </row>
    <row r="2" spans="1:44" x14ac:dyDescent="0.25">
      <c r="A2" s="5" t="s">
        <v>40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</row>
    <row r="3" spans="1:44" x14ac:dyDescent="0.25">
      <c r="A3" s="5" t="s">
        <v>41</v>
      </c>
      <c r="B3" s="5" t="s">
        <v>42</v>
      </c>
      <c r="C3" s="5" t="s">
        <v>43</v>
      </c>
      <c r="D3" s="5" t="s">
        <v>43</v>
      </c>
      <c r="E3" s="5" t="s">
        <v>44</v>
      </c>
      <c r="F3" s="5" t="s">
        <v>45</v>
      </c>
      <c r="G3" s="5" t="s">
        <v>44</v>
      </c>
      <c r="H3" s="5" t="s">
        <v>44</v>
      </c>
      <c r="I3" s="5" t="s">
        <v>44</v>
      </c>
      <c r="J3" s="5" t="s">
        <v>42</v>
      </c>
      <c r="K3" s="5" t="s">
        <v>46</v>
      </c>
      <c r="L3" s="5" t="s">
        <v>43</v>
      </c>
      <c r="M3" s="5" t="s">
        <v>42</v>
      </c>
      <c r="N3" s="5" t="s">
        <v>44</v>
      </c>
      <c r="O3" s="5" t="s">
        <v>44</v>
      </c>
      <c r="P3" s="5" t="s">
        <v>43</v>
      </c>
      <c r="Q3" s="5" t="s">
        <v>43</v>
      </c>
      <c r="R3" s="5" t="s">
        <v>45</v>
      </c>
      <c r="S3" s="5" t="s">
        <v>45</v>
      </c>
      <c r="T3" s="5" t="s">
        <v>45</v>
      </c>
      <c r="U3" s="5" t="s">
        <v>44</v>
      </c>
      <c r="V3" s="5" t="s">
        <v>45</v>
      </c>
      <c r="W3" s="5" t="s">
        <v>43</v>
      </c>
      <c r="X3" s="5" t="s">
        <v>43</v>
      </c>
      <c r="Y3" s="5" t="s">
        <v>42</v>
      </c>
      <c r="Z3" s="5" t="s">
        <v>43</v>
      </c>
      <c r="AA3" s="5" t="s">
        <v>45</v>
      </c>
      <c r="AB3" s="5" t="s">
        <v>45</v>
      </c>
      <c r="AC3" s="5" t="s">
        <v>44</v>
      </c>
      <c r="AD3" s="5" t="s">
        <v>43</v>
      </c>
      <c r="AE3" s="5" t="s">
        <v>43</v>
      </c>
      <c r="AF3" s="5" t="s">
        <v>43</v>
      </c>
      <c r="AG3" s="5" t="s">
        <v>44</v>
      </c>
      <c r="AH3" s="5" t="s">
        <v>45</v>
      </c>
      <c r="AI3" s="5" t="s">
        <v>44</v>
      </c>
      <c r="AJ3" s="5" t="s">
        <v>43</v>
      </c>
      <c r="AK3" s="5" t="s">
        <v>45</v>
      </c>
      <c r="AL3" s="5" t="s">
        <v>44</v>
      </c>
      <c r="AM3" s="5" t="s">
        <v>45</v>
      </c>
      <c r="AN3" s="5" t="s">
        <v>42</v>
      </c>
      <c r="AO3" s="5"/>
      <c r="AP3" s="5"/>
      <c r="AQ3" s="5"/>
      <c r="AR3" s="5"/>
    </row>
    <row r="4" spans="1:44" x14ac:dyDescent="0.25">
      <c r="A4" s="5" t="s">
        <v>52</v>
      </c>
      <c r="B4" s="5"/>
      <c r="C4" s="5" t="s">
        <v>45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4" t="s">
        <v>2</v>
      </c>
      <c r="AP4">
        <v>3.3900000000000002E-6</v>
      </c>
      <c r="AQ4" s="5" t="s">
        <v>138</v>
      </c>
      <c r="AR4" s="5" t="s">
        <v>139</v>
      </c>
    </row>
    <row r="5" spans="1:44" x14ac:dyDescent="0.25">
      <c r="A5" s="5" t="s">
        <v>62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 t="s">
        <v>42</v>
      </c>
      <c r="AG5" s="5"/>
      <c r="AH5" s="5"/>
      <c r="AI5" s="5"/>
      <c r="AJ5" s="5"/>
      <c r="AK5" s="5"/>
      <c r="AL5" s="5"/>
      <c r="AM5" s="5"/>
      <c r="AN5" s="5"/>
      <c r="AO5" s="7" t="s">
        <v>31</v>
      </c>
      <c r="AP5" s="5"/>
      <c r="AQ5" s="5"/>
      <c r="AR5" s="5"/>
    </row>
    <row r="6" spans="1:44" x14ac:dyDescent="0.25">
      <c r="A6" s="5" t="s">
        <v>67</v>
      </c>
      <c r="B6" s="5"/>
      <c r="C6" s="5"/>
      <c r="D6" s="5"/>
      <c r="E6" s="5"/>
      <c r="F6" s="5" t="s">
        <v>44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4" t="s">
        <v>5</v>
      </c>
      <c r="AP6">
        <v>1.102E-5</v>
      </c>
      <c r="AQ6" s="5" t="s">
        <v>138</v>
      </c>
      <c r="AR6" s="5" t="s">
        <v>140</v>
      </c>
    </row>
    <row r="7" spans="1:44" x14ac:dyDescent="0.25">
      <c r="A7" s="5" t="s">
        <v>68</v>
      </c>
      <c r="B7" s="5"/>
      <c r="C7" s="5"/>
      <c r="D7" s="5"/>
      <c r="E7" s="5"/>
      <c r="F7" s="5"/>
      <c r="G7" s="5" t="s">
        <v>45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7" t="s">
        <v>6</v>
      </c>
      <c r="AP7" s="5"/>
      <c r="AQ7" s="5"/>
      <c r="AR7" s="5"/>
    </row>
    <row r="8" spans="1:44" x14ac:dyDescent="0.25">
      <c r="A8" s="5" t="s">
        <v>70</v>
      </c>
      <c r="B8" s="5"/>
      <c r="C8" s="5"/>
      <c r="D8" s="5"/>
      <c r="E8" s="5"/>
      <c r="F8" s="5"/>
      <c r="G8" s="5"/>
      <c r="H8" s="5"/>
      <c r="I8" s="5"/>
      <c r="J8" s="5"/>
      <c r="K8" s="5" t="s">
        <v>71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4" t="s">
        <v>10</v>
      </c>
      <c r="AP8" s="5">
        <v>0</v>
      </c>
      <c r="AQ8" s="5" t="s">
        <v>138</v>
      </c>
      <c r="AR8" s="5" t="s">
        <v>141</v>
      </c>
    </row>
    <row r="9" spans="1:44" x14ac:dyDescent="0.25">
      <c r="A9" s="5" t="s">
        <v>74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 t="s">
        <v>42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4" t="s">
        <v>19</v>
      </c>
      <c r="AP9" s="5">
        <v>0</v>
      </c>
      <c r="AQ9" s="5" t="s">
        <v>138</v>
      </c>
      <c r="AR9" s="8" t="s">
        <v>142</v>
      </c>
    </row>
    <row r="10" spans="1:44" x14ac:dyDescent="0.25">
      <c r="A10" s="5" t="s">
        <v>79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 t="s">
        <v>45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4" t="s">
        <v>13</v>
      </c>
      <c r="AP10">
        <v>7.9670000000000001E-5</v>
      </c>
      <c r="AQ10" s="5" t="s">
        <v>138</v>
      </c>
      <c r="AR10" s="5" t="s">
        <v>143</v>
      </c>
    </row>
    <row r="11" spans="1:44" x14ac:dyDescent="0.25">
      <c r="A11" s="5" t="s">
        <v>84</v>
      </c>
      <c r="B11" s="5"/>
      <c r="C11" s="5"/>
      <c r="D11" s="5"/>
      <c r="E11" s="5"/>
      <c r="F11" s="5"/>
      <c r="G11" s="5"/>
      <c r="H11" s="5"/>
      <c r="I11" s="5" t="s">
        <v>43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7" t="s">
        <v>8</v>
      </c>
      <c r="AP11" s="5"/>
      <c r="AQ11" s="5"/>
      <c r="AR11" s="5"/>
    </row>
    <row r="12" spans="1:44" x14ac:dyDescent="0.25">
      <c r="A12" s="5" t="s">
        <v>86</v>
      </c>
      <c r="B12" s="5"/>
      <c r="C12" s="5"/>
      <c r="D12" s="5"/>
      <c r="E12" s="5"/>
      <c r="F12" s="5"/>
      <c r="G12" s="5"/>
      <c r="H12" s="5"/>
      <c r="I12" s="5"/>
      <c r="J12" s="5" t="s">
        <v>43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7" t="s">
        <v>9</v>
      </c>
      <c r="AP12" s="5"/>
      <c r="AQ12" s="5"/>
      <c r="AR12" s="5"/>
    </row>
    <row r="13" spans="1:44" x14ac:dyDescent="0.25">
      <c r="A13" s="5" t="s">
        <v>95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 t="s">
        <v>44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7" t="s">
        <v>21</v>
      </c>
      <c r="AP13" s="5"/>
      <c r="AQ13" s="5"/>
      <c r="AR13" s="5"/>
    </row>
    <row r="14" spans="1:44" x14ac:dyDescent="0.25">
      <c r="A14" s="5" t="s">
        <v>96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 t="s">
        <v>42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7" t="s">
        <v>22</v>
      </c>
      <c r="AP14" s="5"/>
      <c r="AQ14" s="5"/>
      <c r="AR14" s="5"/>
    </row>
    <row r="15" spans="1:44" ht="14.25" customHeight="1" x14ac:dyDescent="0.25">
      <c r="A15" s="5" t="s">
        <v>97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 t="s">
        <v>44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7" t="s">
        <v>26</v>
      </c>
      <c r="AP15" s="5"/>
      <c r="AQ15" s="5"/>
      <c r="AR15" s="5"/>
    </row>
    <row r="16" spans="1:44" x14ac:dyDescent="0.25">
      <c r="A16" s="5" t="s">
        <v>103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 t="s">
        <v>43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7" t="s">
        <v>18</v>
      </c>
      <c r="AP16" s="5"/>
      <c r="AQ16" s="5"/>
      <c r="AR16" s="5"/>
    </row>
    <row r="17" spans="1:44" x14ac:dyDescent="0.25">
      <c r="A17" s="5" t="s">
        <v>105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 t="s">
        <v>42</v>
      </c>
      <c r="AL17" s="5"/>
      <c r="AM17" s="5"/>
      <c r="AN17" s="5"/>
      <c r="AO17" s="7" t="s">
        <v>36</v>
      </c>
      <c r="AP17" s="5"/>
      <c r="AQ17" s="5"/>
      <c r="AR17" s="5"/>
    </row>
    <row r="18" spans="1:44" x14ac:dyDescent="0.25">
      <c r="A18" s="5" t="s">
        <v>106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 t="s">
        <v>43</v>
      </c>
      <c r="AO18" s="6" t="s">
        <v>106</v>
      </c>
      <c r="AP18" s="5">
        <v>0</v>
      </c>
      <c r="AQ18" s="5" t="s">
        <v>145</v>
      </c>
      <c r="AR18" s="5"/>
    </row>
    <row r="19" spans="1:44" x14ac:dyDescent="0.25">
      <c r="A19" s="5" t="s">
        <v>107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 t="s">
        <v>44</v>
      </c>
      <c r="AN19" s="5"/>
      <c r="AO19" s="4" t="s">
        <v>38</v>
      </c>
      <c r="AP19" s="5">
        <v>0</v>
      </c>
      <c r="AQ19" s="5" t="s">
        <v>138</v>
      </c>
      <c r="AR19" s="5" t="s">
        <v>144</v>
      </c>
    </row>
    <row r="20" spans="1:44" x14ac:dyDescent="0.25">
      <c r="A20" s="5" t="s">
        <v>108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 t="s">
        <v>42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6" t="s">
        <v>108</v>
      </c>
      <c r="AP20" s="5">
        <v>1E-4</v>
      </c>
      <c r="AQ20" s="5" t="s">
        <v>145</v>
      </c>
      <c r="AR20" s="5"/>
    </row>
    <row r="21" spans="1:44" x14ac:dyDescent="0.25">
      <c r="A21" s="5" t="s">
        <v>109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 t="s">
        <v>45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6" t="s">
        <v>109</v>
      </c>
      <c r="AP21" s="5">
        <v>0</v>
      </c>
      <c r="AQ21" s="5" t="s">
        <v>145</v>
      </c>
      <c r="AR21" s="5"/>
    </row>
    <row r="22" spans="1:44" x14ac:dyDescent="0.25">
      <c r="A22" s="5" t="s">
        <v>110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 t="s">
        <v>44</v>
      </c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7" t="s">
        <v>25</v>
      </c>
      <c r="AP22" s="5"/>
      <c r="AQ22" s="5"/>
      <c r="AR22" s="5"/>
    </row>
    <row r="23" spans="1:44" x14ac:dyDescent="0.25">
      <c r="A23" s="5" t="s">
        <v>111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 t="s">
        <v>42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7" t="s">
        <v>28</v>
      </c>
      <c r="AP23" s="5"/>
      <c r="AQ23" s="5"/>
      <c r="AR23" s="5"/>
    </row>
    <row r="24" spans="1:44" x14ac:dyDescent="0.25">
      <c r="A24" s="5" t="s">
        <v>112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 t="s">
        <v>44</v>
      </c>
      <c r="AF24" s="5"/>
      <c r="AG24" s="5"/>
      <c r="AH24" s="5"/>
      <c r="AI24" s="5"/>
      <c r="AJ24" s="5"/>
      <c r="AK24" s="5"/>
      <c r="AL24" s="5"/>
      <c r="AM24" s="5"/>
      <c r="AN24" s="5"/>
      <c r="AO24" s="6" t="s">
        <v>112</v>
      </c>
      <c r="AP24" s="5">
        <v>0</v>
      </c>
      <c r="AQ24" s="5" t="s">
        <v>145</v>
      </c>
      <c r="AR24" s="5"/>
    </row>
    <row r="25" spans="1:44" x14ac:dyDescent="0.25">
      <c r="A25" s="5" t="s">
        <v>113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 t="s">
        <v>42</v>
      </c>
      <c r="AK25" s="5"/>
      <c r="AL25" s="5"/>
      <c r="AM25" s="5"/>
      <c r="AN25" s="5"/>
      <c r="AO25" s="6" t="s">
        <v>113</v>
      </c>
      <c r="AP25" s="5">
        <v>0</v>
      </c>
      <c r="AQ25" s="5" t="s">
        <v>145</v>
      </c>
      <c r="AR25" s="5"/>
    </row>
    <row r="26" spans="1:44" x14ac:dyDescent="0.25">
      <c r="A26" s="5" t="s">
        <v>114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 t="s">
        <v>45</v>
      </c>
      <c r="AH26" s="5"/>
      <c r="AI26" s="5"/>
      <c r="AJ26" s="5"/>
      <c r="AK26" s="5"/>
      <c r="AL26" s="5"/>
      <c r="AM26" s="5"/>
      <c r="AN26" s="5"/>
      <c r="AO26" s="4" t="s">
        <v>32</v>
      </c>
      <c r="AP26">
        <v>7.6290000000000001E-6</v>
      </c>
      <c r="AQ26" s="5" t="s">
        <v>138</v>
      </c>
      <c r="AR26" s="5" t="s">
        <v>146</v>
      </c>
    </row>
    <row r="27" spans="1:44" x14ac:dyDescent="0.25">
      <c r="A27" s="5" t="s">
        <v>115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 t="s">
        <v>44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7" t="s">
        <v>17</v>
      </c>
      <c r="AP27" s="5"/>
      <c r="AQ27" s="5"/>
      <c r="AR27" s="5"/>
    </row>
    <row r="28" spans="1:44" x14ac:dyDescent="0.25">
      <c r="A28" s="5" t="s">
        <v>116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 t="s">
        <v>42</v>
      </c>
      <c r="AM28" s="5"/>
      <c r="AN28" s="5"/>
      <c r="AO28" s="7" t="s">
        <v>37</v>
      </c>
      <c r="AP28" s="5"/>
      <c r="AQ28" s="5"/>
      <c r="AR28" s="5"/>
    </row>
    <row r="29" spans="1:44" x14ac:dyDescent="0.25">
      <c r="A29" s="5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 t="s">
        <v>42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6" t="s">
        <v>118</v>
      </c>
      <c r="AP29" s="5">
        <v>0</v>
      </c>
      <c r="AQ29" s="5" t="s">
        <v>145</v>
      </c>
      <c r="AR29" s="5"/>
    </row>
    <row r="30" spans="1:44" x14ac:dyDescent="0.25">
      <c r="A30" s="5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 t="s">
        <v>42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6" t="s">
        <v>119</v>
      </c>
      <c r="AP30" s="5">
        <v>1E-4</v>
      </c>
      <c r="AQ30" s="5" t="s">
        <v>145</v>
      </c>
      <c r="AR30" s="5"/>
    </row>
    <row r="31" spans="1:44" x14ac:dyDescent="0.25">
      <c r="A31" s="5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 t="s">
        <v>42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4" t="s">
        <v>20</v>
      </c>
      <c r="AP31">
        <v>4.2390000000000004E-6</v>
      </c>
      <c r="AQ31" s="5" t="s">
        <v>138</v>
      </c>
      <c r="AR31" s="5" t="s">
        <v>147</v>
      </c>
    </row>
    <row r="32" spans="1:44" x14ac:dyDescent="0.25">
      <c r="A32" s="5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 t="s">
        <v>43</v>
      </c>
      <c r="AI32" s="5"/>
      <c r="AJ32" s="5"/>
      <c r="AK32" s="5"/>
      <c r="AL32" s="5"/>
      <c r="AM32" s="5"/>
      <c r="AN32" s="5"/>
      <c r="AO32" s="6" t="s">
        <v>121</v>
      </c>
      <c r="AP32" s="5">
        <v>0</v>
      </c>
      <c r="AQ32" s="5" t="s">
        <v>145</v>
      </c>
      <c r="AR32" s="5"/>
    </row>
    <row r="33" spans="1:44" x14ac:dyDescent="0.25">
      <c r="A33" s="5" t="s">
        <v>122</v>
      </c>
      <c r="B33" s="5"/>
      <c r="C33" s="5"/>
      <c r="D33" s="5"/>
      <c r="E33" s="5" t="s">
        <v>45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4" t="s">
        <v>4</v>
      </c>
      <c r="AP33">
        <v>1.102E-5</v>
      </c>
      <c r="AQ33" s="5" t="s">
        <v>138</v>
      </c>
      <c r="AR33" s="5" t="s">
        <v>148</v>
      </c>
    </row>
    <row r="34" spans="1:44" x14ac:dyDescent="0.25">
      <c r="A34" s="5" t="s">
        <v>123</v>
      </c>
      <c r="B34" s="5"/>
      <c r="C34" s="5"/>
      <c r="D34" s="5"/>
      <c r="E34" s="5"/>
      <c r="F34" s="5"/>
      <c r="G34" s="5"/>
      <c r="H34" s="5" t="s">
        <v>45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7" t="s">
        <v>7</v>
      </c>
      <c r="AP34" s="5"/>
      <c r="AQ34" s="5"/>
      <c r="AR34" s="5"/>
    </row>
    <row r="35" spans="1:44" x14ac:dyDescent="0.25">
      <c r="A35" s="5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 t="s">
        <v>44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4" t="s">
        <v>12</v>
      </c>
      <c r="AP35" s="5">
        <v>0</v>
      </c>
      <c r="AQ35" s="5" t="s">
        <v>138</v>
      </c>
      <c r="AR35" s="5" t="s">
        <v>149</v>
      </c>
    </row>
    <row r="36" spans="1:44" x14ac:dyDescent="0.25">
      <c r="A36" s="5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 t="s">
        <v>42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4" t="s">
        <v>29</v>
      </c>
      <c r="AP36" s="5">
        <v>0</v>
      </c>
      <c r="AQ36" s="5" t="s">
        <v>138</v>
      </c>
      <c r="AR36" s="5" t="s">
        <v>150</v>
      </c>
    </row>
    <row r="37" spans="1:44" x14ac:dyDescent="0.25">
      <c r="A37" s="5" t="s">
        <v>126</v>
      </c>
      <c r="B37" s="5" t="s">
        <v>44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7" t="s">
        <v>1</v>
      </c>
      <c r="AP37" s="5"/>
      <c r="AQ37" s="5"/>
      <c r="AR37" s="5"/>
    </row>
    <row r="38" spans="1:44" x14ac:dyDescent="0.25">
      <c r="A38" s="5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 t="s">
        <v>42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7" t="s">
        <v>27</v>
      </c>
      <c r="AP38" s="5"/>
      <c r="AQ38" s="5"/>
      <c r="AR38" s="5"/>
    </row>
    <row r="39" spans="1:44" x14ac:dyDescent="0.25">
      <c r="A39" s="5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 t="s">
        <v>42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4" t="s">
        <v>23</v>
      </c>
      <c r="AP39">
        <v>4.0930000000000003E-5</v>
      </c>
      <c r="AQ39" s="5" t="s">
        <v>138</v>
      </c>
      <c r="AR39" s="5" t="s">
        <v>151</v>
      </c>
    </row>
    <row r="40" spans="1:44" x14ac:dyDescent="0.25">
      <c r="A40" s="5" t="s">
        <v>129</v>
      </c>
      <c r="B40" s="5"/>
      <c r="C40" s="5"/>
      <c r="D40" s="5" t="s">
        <v>42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7" t="s">
        <v>3</v>
      </c>
      <c r="AP40" s="5"/>
      <c r="AQ40" s="5"/>
      <c r="AR40" s="5"/>
    </row>
    <row r="41" spans="1:44" x14ac:dyDescent="0.25">
      <c r="A41" s="5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 t="s">
        <v>43</v>
      </c>
      <c r="AJ41" s="5"/>
      <c r="AK41" s="5"/>
      <c r="AL41" s="5"/>
      <c r="AM41" s="5"/>
      <c r="AN41" s="5"/>
      <c r="AO41" s="4" t="s">
        <v>34</v>
      </c>
      <c r="AP41" s="9">
        <v>8.4799999999999997E-7</v>
      </c>
      <c r="AQ41" s="5" t="s">
        <v>138</v>
      </c>
      <c r="AR41" s="5" t="s">
        <v>152</v>
      </c>
    </row>
    <row r="42" spans="1:44" x14ac:dyDescent="0.25">
      <c r="A42" s="5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 t="s">
        <v>132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7" t="s">
        <v>24</v>
      </c>
      <c r="AP42" s="5"/>
      <c r="AQ42" s="5"/>
      <c r="AR42" s="5"/>
    </row>
    <row r="43" spans="1:44" x14ac:dyDescent="0.25">
      <c r="AO43" s="3" t="s">
        <v>137</v>
      </c>
      <c r="AP43" s="5">
        <f>SUM(AP4:AP42)*100</f>
        <v>3.58746E-2</v>
      </c>
    </row>
    <row r="44" spans="1:44" x14ac:dyDescent="0.25">
      <c r="AP44" s="5"/>
    </row>
  </sheetData>
  <hyperlinks>
    <hyperlink ref="AR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Salida_R</vt:lpstr>
      <vt:lpstr>Filtrada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2026-04-09T10:44:07Z</dcterms:created>
  <dcterms:modified xsi:type="dcterms:W3CDTF">2026-04-09T16:00:31Z</dcterms:modified>
</cp:coreProperties>
</file>