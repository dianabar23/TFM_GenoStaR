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X:\Fobos\Proyecto_Diana\TFM_GenoStaR\"/>
    </mc:Choice>
  </mc:AlternateContent>
  <bookViews>
    <workbookView xWindow="0" yWindow="0" windowWidth="25200" windowHeight="11160" activeTab="1"/>
  </bookViews>
  <sheets>
    <sheet name="Salida_R" sheetId="1" r:id="rId1"/>
    <sheet name="Filtrada" sheetId="2" r:id="rId2"/>
  </sheets>
  <calcPr calcId="162913"/>
</workbook>
</file>

<file path=xl/calcChain.xml><?xml version="1.0" encoding="utf-8"?>
<calcChain xmlns="http://schemas.openxmlformats.org/spreadsheetml/2006/main">
  <c r="AA28" i="2" l="1"/>
</calcChain>
</file>

<file path=xl/sharedStrings.xml><?xml version="1.0" encoding="utf-8"?>
<sst xmlns="http://schemas.openxmlformats.org/spreadsheetml/2006/main" count="287" uniqueCount="104">
  <si>
    <t>rsID</t>
  </si>
  <si>
    <t>rs1226205448</t>
  </si>
  <si>
    <t>rs188389063</t>
  </si>
  <si>
    <t>rs570051168</t>
  </si>
  <si>
    <t>X</t>
  </si>
  <si>
    <t>rs1449865051</t>
  </si>
  <si>
    <t>X.1</t>
  </si>
  <si>
    <t>rs778013004</t>
  </si>
  <si>
    <t>rs4986908</t>
  </si>
  <si>
    <t>rs113667357</t>
  </si>
  <si>
    <t>rs138105638</t>
  </si>
  <si>
    <t>rs145582851</t>
  </si>
  <si>
    <t>rs1429705359</t>
  </si>
  <si>
    <t>rs4646438</t>
  </si>
  <si>
    <t>rs201821708</t>
  </si>
  <si>
    <t>rs1303250043</t>
  </si>
  <si>
    <t>rs368296206</t>
  </si>
  <si>
    <t>rs1318364992</t>
  </si>
  <si>
    <t>rs756833413</t>
  </si>
  <si>
    <t>X.2</t>
  </si>
  <si>
    <t>X.3</t>
  </si>
  <si>
    <t>rs774109750</t>
  </si>
  <si>
    <t>rs4986913</t>
  </si>
  <si>
    <t>rs1584538410</t>
  </si>
  <si>
    <t>rs67666821</t>
  </si>
  <si>
    <t>Allele Name</t>
  </si>
  <si>
    <t>*1</t>
  </si>
  <si>
    <t>C</t>
  </si>
  <si>
    <t>G</t>
  </si>
  <si>
    <t>A</t>
  </si>
  <si>
    <t>T</t>
  </si>
  <si>
    <t>*2</t>
  </si>
  <si>
    <t>*3</t>
  </si>
  <si>
    <t>*4</t>
  </si>
  <si>
    <t>*5</t>
  </si>
  <si>
    <t>*6</t>
  </si>
  <si>
    <t>TT</t>
  </si>
  <si>
    <t>*7</t>
  </si>
  <si>
    <t>*8</t>
  </si>
  <si>
    <t>*9</t>
  </si>
  <si>
    <t>*10</t>
  </si>
  <si>
    <t>*11</t>
  </si>
  <si>
    <t>*12</t>
  </si>
  <si>
    <t>*13</t>
  </si>
  <si>
    <t>*14</t>
  </si>
  <si>
    <t>*15</t>
  </si>
  <si>
    <t>*16</t>
  </si>
  <si>
    <t>*17</t>
  </si>
  <si>
    <t>*18</t>
  </si>
  <si>
    <t>*19</t>
  </si>
  <si>
    <t>*20</t>
  </si>
  <si>
    <t>*21</t>
  </si>
  <si>
    <t>*22</t>
  </si>
  <si>
    <t>*23</t>
  </si>
  <si>
    <t>*24</t>
  </si>
  <si>
    <t>*26</t>
  </si>
  <si>
    <t>*28</t>
  </si>
  <si>
    <t>*29</t>
  </si>
  <si>
    <t>*30</t>
  </si>
  <si>
    <t>*31</t>
  </si>
  <si>
    <t>*32</t>
  </si>
  <si>
    <t>*33</t>
  </si>
  <si>
    <t>*34</t>
  </si>
  <si>
    <t>*35</t>
  </si>
  <si>
    <t>*37</t>
  </si>
  <si>
    <t>*38</t>
  </si>
  <si>
    <t>*39</t>
  </si>
  <si>
    <t>*40</t>
  </si>
  <si>
    <t>*41</t>
  </si>
  <si>
    <t>*42</t>
  </si>
  <si>
    <t>*43</t>
  </si>
  <si>
    <t>*44</t>
  </si>
  <si>
    <t>*45</t>
  </si>
  <si>
    <t>*46</t>
  </si>
  <si>
    <t>*47</t>
  </si>
  <si>
    <t>*48</t>
  </si>
  <si>
    <t>MAF European (non-finnish)</t>
  </si>
  <si>
    <t>Link</t>
  </si>
  <si>
    <t>https://gnomad.broadinstitute.org/variant/7-99766411-G-GT?dataset=gnomad_r4</t>
  </si>
  <si>
    <t>https://gnomad.broadinstitute.org/variant/7-99769769-C-G?dataset=gnomad_r4</t>
  </si>
  <si>
    <t>https://gnomad.broadinstitute.org/variant/7-99760836-G-A?dataset=gnomad_r4</t>
  </si>
  <si>
    <t>https://gnomad.broadinstitute.org/variant/7-99758183-G-GT?dataset=gnomad_r4</t>
  </si>
  <si>
    <t>https://gnomad.broadinstitute.org/variant/7-99763925-T-C?dataset=gnomad_r4</t>
  </si>
  <si>
    <t>https://gnomad.broadinstitute.org/variant/7-99768424-T-A?dataset=gnomad_r4</t>
  </si>
  <si>
    <t>https://gnomad.broadinstitute.org/variant/7-99766440-G-A?dataset=gnomad_r4</t>
  </si>
  <si>
    <t>https://gnomad.broadinstitute.org/variant/7-99784018-G-C?dataset=gnomad_r4</t>
  </si>
  <si>
    <t>https://gnomad.broadinstitute.org/variant/7-99770166-G-A?dataset=gnomad_r4</t>
  </si>
  <si>
    <t>https://gnomad.broadinstitute.org/variant/7-99763909-G-T?dataset=gnomad_r4</t>
  </si>
  <si>
    <t>https://gnomad.broadinstitute.org/variant/7-99763877-A-G?dataset=gnomad_r4</t>
  </si>
  <si>
    <t>https://gnomad.broadinstitute.org/variant/7-99762186-C-A?dataset=gnomad_r4</t>
  </si>
  <si>
    <t>https://gnomad.broadinstitute.org/variant/7-99760956-T-C?dataset=gnomad_r4</t>
  </si>
  <si>
    <t>https://gnomad.broadinstitute.org/variant/7-99784075-G-C?dataset=gnomad_r4</t>
  </si>
  <si>
    <t>https://gnomad.broadinstitute.org/variant/7-99784078-C-T?dataset=gnomad_r4</t>
  </si>
  <si>
    <t>https://gnomad.broadinstitute.org/variant/7-99766439-C-T?dataset=gnomad_r4</t>
  </si>
  <si>
    <t>https://gnomad.broadinstitute.org/variant/7-99766424-T-C?dataset=gnomad_r4</t>
  </si>
  <si>
    <t>https://genome.ucsc.edu/cgi-bin/hgTracks?db=hg38&amp;lastVirtModeType=default&amp;lastVirtModeExtraState=&amp;virtModeType=default&amp;virtMode=0&amp;nonVirtPosition=&amp;position=chr7%3A99770117%2D99770317&amp;hgsid=3901234605_qqKm05HEwaXIjv74mkmc2GxejozW</t>
  </si>
  <si>
    <t>Error</t>
  </si>
  <si>
    <t>https://genome.ucsc.edu/cgi-bin/hgTracks?db=hg38&amp;lastVirtModeType=default&amp;lastVirtModeExtraState=&amp;virtModeType=default&amp;virtMode=0&amp;nonVirtPosition=&amp;position=chr7%3A99758128%2D99758328&amp;hgsid=3905088737_pHon3US2eHCMjb3TYxYKjOYvbQTe</t>
  </si>
  <si>
    <t>https://genome.ucsc.edu/cgi-bin/hgTracks?db=hg38&amp;lastVirtModeType=default&amp;lastVirtModeExtraState=&amp;virtModeType=default&amp;virtMode=0&amp;nonVirtPosition=&amp;position=chr7%3A99762134%2D99762334&amp;hgsid=3905090717_r2M3rfItOa7Ml3DzRhu73WCCPu4N</t>
  </si>
  <si>
    <t xml:space="preserve">Base de datos </t>
  </si>
  <si>
    <t>GenomAD</t>
  </si>
  <si>
    <t>UCSC</t>
  </si>
  <si>
    <t xml:space="preserve">UCSC </t>
  </si>
  <si>
    <t>rs/*alelo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</si>
</sst>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6">
    <xf numFmtId="0" fontId="0" fillId="0" borderId="0" xfId="0"/>
    <xf numFmtId="0" fontId="1" fillId="0" borderId="0" xfId="0" applyFont="1" applyAlignment="1">
      <alignment horizontal="center"/>
    </xf>
    <xf numFmtId="0" fontId="1" fillId="2" borderId="0" xfId="0" applyFont="1" applyFill="1" applyAlignment="1">
      <alignment horizontal="center"/>
    </xf>
    <xf numFmtId="0" fontId="2" fillId="0" borderId="0" xfId="1"/>
    <xf numFmtId="0" fontId="0" fillId="3" borderId="0" xfId="0" applyFill="1"/>
    <xf numFmtId="0" fontId="0" fillId="4" borderId="0" xfId="0" applyFill="1"/>
  </cellXfs>
  <cellStyles count="2">
    <cellStyle name="Hipervínculo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https://genome.ucsc.edu/cgi-bin/hgTracks?db=hg38&amp;lastVirtModeType=default&amp;lastVirtModeExtraState=&amp;virtModeType=default&amp;virtMode=0&amp;nonVirtPosition=&amp;position=chr7%3A99770117%2D99770317&amp;hgsid=3901234605_qqKm05HEwaXIjv74mkmc2GxejozW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47"/>
  <sheetViews>
    <sheetView workbookViewId="0">
      <selection sqref="A1:XFD1048576"/>
    </sheetView>
  </sheetViews>
  <sheetFormatPr baseColWidth="10" defaultColWidth="9.140625" defaultRowHeight="15" x14ac:dyDescent="0.25"/>
  <sheetData>
    <row r="1" spans="1:2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spans="1:25" x14ac:dyDescent="0.25">
      <c r="A2" t="s">
        <v>25</v>
      </c>
    </row>
    <row r="3" spans="1:25" x14ac:dyDescent="0.25">
      <c r="A3" t="s">
        <v>26</v>
      </c>
      <c r="B3" t="s">
        <v>27</v>
      </c>
      <c r="C3" t="s">
        <v>28</v>
      </c>
      <c r="D3" t="s">
        <v>28</v>
      </c>
      <c r="E3" t="s">
        <v>28</v>
      </c>
      <c r="F3" t="s">
        <v>29</v>
      </c>
      <c r="G3" t="s">
        <v>30</v>
      </c>
      <c r="H3" t="s">
        <v>28</v>
      </c>
      <c r="I3" t="s">
        <v>27</v>
      </c>
      <c r="J3" t="s">
        <v>30</v>
      </c>
      <c r="K3" t="s">
        <v>28</v>
      </c>
      <c r="L3" t="s">
        <v>27</v>
      </c>
      <c r="M3" t="s">
        <v>30</v>
      </c>
      <c r="N3" t="s">
        <v>30</v>
      </c>
      <c r="O3" t="s">
        <v>30</v>
      </c>
      <c r="P3" t="s">
        <v>28</v>
      </c>
      <c r="Q3" t="s">
        <v>29</v>
      </c>
      <c r="R3" t="s">
        <v>27</v>
      </c>
      <c r="S3" t="s">
        <v>27</v>
      </c>
      <c r="T3" t="s">
        <v>30</v>
      </c>
      <c r="U3" t="s">
        <v>29</v>
      </c>
      <c r="V3" t="s">
        <v>30</v>
      </c>
      <c r="W3" t="s">
        <v>28</v>
      </c>
      <c r="X3" t="s">
        <v>30</v>
      </c>
      <c r="Y3" t="s">
        <v>30</v>
      </c>
    </row>
    <row r="4" spans="1:25" x14ac:dyDescent="0.25">
      <c r="A4" t="s">
        <v>31</v>
      </c>
    </row>
    <row r="5" spans="1:25" x14ac:dyDescent="0.25">
      <c r="A5" t="s">
        <v>32</v>
      </c>
    </row>
    <row r="6" spans="1:25" x14ac:dyDescent="0.25">
      <c r="A6" t="s">
        <v>33</v>
      </c>
    </row>
    <row r="7" spans="1:25" x14ac:dyDescent="0.25">
      <c r="A7" t="s">
        <v>34</v>
      </c>
    </row>
    <row r="8" spans="1:25" x14ac:dyDescent="0.25">
      <c r="A8" t="s">
        <v>35</v>
      </c>
      <c r="N8" t="s">
        <v>36</v>
      </c>
    </row>
    <row r="9" spans="1:25" x14ac:dyDescent="0.25">
      <c r="A9" t="s">
        <v>37</v>
      </c>
    </row>
    <row r="10" spans="1:25" x14ac:dyDescent="0.25">
      <c r="A10" t="s">
        <v>38</v>
      </c>
    </row>
    <row r="11" spans="1:25" x14ac:dyDescent="0.25">
      <c r="A11" t="s">
        <v>39</v>
      </c>
    </row>
    <row r="12" spans="1:25" x14ac:dyDescent="0.25">
      <c r="A12" t="s">
        <v>40</v>
      </c>
      <c r="I12" t="s">
        <v>28</v>
      </c>
    </row>
    <row r="13" spans="1:25" x14ac:dyDescent="0.25">
      <c r="A13" t="s">
        <v>41</v>
      </c>
    </row>
    <row r="14" spans="1:25" x14ac:dyDescent="0.25">
      <c r="A14" t="s">
        <v>42</v>
      </c>
    </row>
    <row r="15" spans="1:25" x14ac:dyDescent="0.25">
      <c r="A15" t="s">
        <v>43</v>
      </c>
    </row>
    <row r="16" spans="1:25" x14ac:dyDescent="0.25">
      <c r="A16" t="s">
        <v>44</v>
      </c>
    </row>
    <row r="17" spans="1:25" x14ac:dyDescent="0.25">
      <c r="A17" t="s">
        <v>45</v>
      </c>
    </row>
    <row r="18" spans="1:25" x14ac:dyDescent="0.25">
      <c r="A18" t="s">
        <v>46</v>
      </c>
    </row>
    <row r="19" spans="1:25" x14ac:dyDescent="0.25">
      <c r="A19" t="s">
        <v>47</v>
      </c>
    </row>
    <row r="20" spans="1:25" x14ac:dyDescent="0.25">
      <c r="A20" t="s">
        <v>48</v>
      </c>
    </row>
    <row r="21" spans="1:25" x14ac:dyDescent="0.25">
      <c r="A21" t="s">
        <v>49</v>
      </c>
      <c r="W21" t="s">
        <v>29</v>
      </c>
    </row>
    <row r="22" spans="1:25" x14ac:dyDescent="0.25">
      <c r="A22" t="s">
        <v>50</v>
      </c>
      <c r="Y22" t="s">
        <v>36</v>
      </c>
    </row>
    <row r="23" spans="1:25" x14ac:dyDescent="0.25">
      <c r="A23" t="s">
        <v>51</v>
      </c>
      <c r="O23" t="s">
        <v>27</v>
      </c>
    </row>
    <row r="24" spans="1:25" x14ac:dyDescent="0.25">
      <c r="A24" t="s">
        <v>52</v>
      </c>
    </row>
    <row r="25" spans="1:25" x14ac:dyDescent="0.25">
      <c r="A25" t="s">
        <v>53</v>
      </c>
    </row>
    <row r="26" spans="1:25" x14ac:dyDescent="0.25">
      <c r="A26" t="s">
        <v>54</v>
      </c>
      <c r="J26" t="s">
        <v>29</v>
      </c>
    </row>
    <row r="27" spans="1:25" x14ac:dyDescent="0.25">
      <c r="A27" t="s">
        <v>55</v>
      </c>
      <c r="K27" t="s">
        <v>29</v>
      </c>
    </row>
    <row r="28" spans="1:25" x14ac:dyDescent="0.25">
      <c r="A28" t="s">
        <v>56</v>
      </c>
      <c r="D28" t="s">
        <v>27</v>
      </c>
    </row>
    <row r="29" spans="1:25" x14ac:dyDescent="0.25">
      <c r="A29" t="s">
        <v>57</v>
      </c>
      <c r="F29" t="s">
        <v>30</v>
      </c>
    </row>
    <row r="30" spans="1:25" x14ac:dyDescent="0.25">
      <c r="A30" t="s">
        <v>58</v>
      </c>
      <c r="H30" t="s">
        <v>29</v>
      </c>
    </row>
    <row r="31" spans="1:25" x14ac:dyDescent="0.25">
      <c r="A31" t="s">
        <v>59</v>
      </c>
      <c r="P31" t="s">
        <v>30</v>
      </c>
    </row>
    <row r="32" spans="1:25" x14ac:dyDescent="0.25">
      <c r="A32" t="s">
        <v>60</v>
      </c>
      <c r="Q32" t="s">
        <v>28</v>
      </c>
    </row>
    <row r="33" spans="1:24" x14ac:dyDescent="0.25">
      <c r="A33" t="s">
        <v>61</v>
      </c>
      <c r="S33" t="s">
        <v>29</v>
      </c>
    </row>
    <row r="34" spans="1:24" x14ac:dyDescent="0.25">
      <c r="A34" t="s">
        <v>62</v>
      </c>
      <c r="V34" t="s">
        <v>27</v>
      </c>
    </row>
    <row r="35" spans="1:24" x14ac:dyDescent="0.25">
      <c r="A35" t="s">
        <v>63</v>
      </c>
      <c r="C35" t="s">
        <v>27</v>
      </c>
    </row>
    <row r="36" spans="1:24" x14ac:dyDescent="0.25">
      <c r="A36" t="s">
        <v>64</v>
      </c>
    </row>
    <row r="37" spans="1:24" x14ac:dyDescent="0.25">
      <c r="A37" t="s">
        <v>65</v>
      </c>
    </row>
    <row r="38" spans="1:24" x14ac:dyDescent="0.25">
      <c r="A38" t="s">
        <v>66</v>
      </c>
      <c r="B38" t="s">
        <v>30</v>
      </c>
    </row>
    <row r="39" spans="1:24" x14ac:dyDescent="0.25">
      <c r="A39" t="s">
        <v>67</v>
      </c>
      <c r="E39" t="s">
        <v>29</v>
      </c>
    </row>
    <row r="40" spans="1:24" x14ac:dyDescent="0.25">
      <c r="A40" t="s">
        <v>68</v>
      </c>
      <c r="G40" t="s">
        <v>27</v>
      </c>
    </row>
    <row r="41" spans="1:24" x14ac:dyDescent="0.25">
      <c r="A41" t="s">
        <v>69</v>
      </c>
    </row>
    <row r="42" spans="1:24" x14ac:dyDescent="0.25">
      <c r="A42" t="s">
        <v>70</v>
      </c>
      <c r="L42" t="s">
        <v>30</v>
      </c>
    </row>
    <row r="43" spans="1:24" x14ac:dyDescent="0.25">
      <c r="A43" t="s">
        <v>71</v>
      </c>
      <c r="M43" t="s">
        <v>27</v>
      </c>
    </row>
    <row r="44" spans="1:24" x14ac:dyDescent="0.25">
      <c r="A44" t="s">
        <v>72</v>
      </c>
      <c r="U44" t="s">
        <v>30</v>
      </c>
    </row>
    <row r="45" spans="1:24" x14ac:dyDescent="0.25">
      <c r="A45" t="s">
        <v>73</v>
      </c>
      <c r="X45" t="s">
        <v>29</v>
      </c>
    </row>
    <row r="46" spans="1:24" x14ac:dyDescent="0.25">
      <c r="A46" t="s">
        <v>74</v>
      </c>
      <c r="T46" t="s">
        <v>28</v>
      </c>
    </row>
    <row r="47" spans="1:24" x14ac:dyDescent="0.25">
      <c r="A47" t="s">
        <v>75</v>
      </c>
      <c r="R47" t="s">
        <v>30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C28"/>
  <sheetViews>
    <sheetView tabSelected="1" topLeftCell="G1" workbookViewId="0">
      <selection activeCell="M23" sqref="M23"/>
    </sheetView>
  </sheetViews>
  <sheetFormatPr baseColWidth="10" defaultColWidth="9.140625" defaultRowHeight="15" x14ac:dyDescent="0.25"/>
  <cols>
    <col min="26" max="26" width="13.7109375" customWidth="1"/>
    <col min="27" max="28" width="14.28515625" customWidth="1"/>
  </cols>
  <sheetData>
    <row r="1" spans="1:29" s="1" customFormat="1" x14ac:dyDescent="0.2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1" t="s">
        <v>103</v>
      </c>
      <c r="AA1" s="1" t="s">
        <v>76</v>
      </c>
      <c r="AB1" s="1" t="s">
        <v>99</v>
      </c>
      <c r="AC1" s="1" t="s">
        <v>77</v>
      </c>
    </row>
    <row r="2" spans="1:29" x14ac:dyDescent="0.25">
      <c r="A2" t="s">
        <v>25</v>
      </c>
    </row>
    <row r="3" spans="1:29" x14ac:dyDescent="0.25">
      <c r="A3" t="s">
        <v>26</v>
      </c>
      <c r="B3" t="s">
        <v>27</v>
      </c>
      <c r="C3" t="s">
        <v>28</v>
      </c>
      <c r="D3" t="s">
        <v>28</v>
      </c>
      <c r="E3" t="s">
        <v>28</v>
      </c>
      <c r="F3" t="s">
        <v>29</v>
      </c>
      <c r="G3" t="s">
        <v>30</v>
      </c>
      <c r="H3" t="s">
        <v>28</v>
      </c>
      <c r="I3" t="s">
        <v>27</v>
      </c>
      <c r="J3" t="s">
        <v>30</v>
      </c>
      <c r="K3" t="s">
        <v>28</v>
      </c>
      <c r="L3" t="s">
        <v>27</v>
      </c>
      <c r="M3" t="s">
        <v>30</v>
      </c>
      <c r="N3" t="s">
        <v>30</v>
      </c>
      <c r="O3" t="s">
        <v>30</v>
      </c>
      <c r="P3" t="s">
        <v>28</v>
      </c>
      <c r="Q3" t="s">
        <v>29</v>
      </c>
      <c r="R3" t="s">
        <v>27</v>
      </c>
      <c r="S3" t="s">
        <v>27</v>
      </c>
      <c r="T3" t="s">
        <v>30</v>
      </c>
      <c r="U3" t="s">
        <v>29</v>
      </c>
      <c r="V3" t="s">
        <v>30</v>
      </c>
      <c r="W3" t="s">
        <v>28</v>
      </c>
      <c r="X3" t="s">
        <v>30</v>
      </c>
      <c r="Y3" t="s">
        <v>30</v>
      </c>
    </row>
    <row r="4" spans="1:29" x14ac:dyDescent="0.25">
      <c r="A4" t="s">
        <v>35</v>
      </c>
      <c r="N4" t="s">
        <v>36</v>
      </c>
      <c r="Z4" t="s">
        <v>13</v>
      </c>
      <c r="AA4">
        <v>3.0519999999999999E-5</v>
      </c>
      <c r="AB4" t="s">
        <v>100</v>
      </c>
      <c r="AC4" t="s">
        <v>78</v>
      </c>
    </row>
    <row r="5" spans="1:29" x14ac:dyDescent="0.25">
      <c r="A5" t="s">
        <v>40</v>
      </c>
      <c r="I5" t="s">
        <v>28</v>
      </c>
      <c r="Z5" t="s">
        <v>8</v>
      </c>
      <c r="AA5">
        <v>4.7840000000000001E-3</v>
      </c>
      <c r="AB5" t="s">
        <v>100</v>
      </c>
      <c r="AC5" t="s">
        <v>79</v>
      </c>
    </row>
    <row r="6" spans="1:29" x14ac:dyDescent="0.25">
      <c r="A6" t="s">
        <v>49</v>
      </c>
      <c r="W6" t="s">
        <v>29</v>
      </c>
      <c r="Z6" t="s">
        <v>22</v>
      </c>
      <c r="AA6">
        <v>1.6950000000000001E-6</v>
      </c>
      <c r="AB6" t="s">
        <v>100</v>
      </c>
      <c r="AC6" t="s">
        <v>80</v>
      </c>
    </row>
    <row r="7" spans="1:29" x14ac:dyDescent="0.25">
      <c r="A7" t="s">
        <v>50</v>
      </c>
      <c r="Y7" t="s">
        <v>36</v>
      </c>
      <c r="Z7" t="s">
        <v>24</v>
      </c>
      <c r="AA7">
        <v>5.0600000000000005E-4</v>
      </c>
      <c r="AB7" t="s">
        <v>100</v>
      </c>
      <c r="AC7" t="s">
        <v>81</v>
      </c>
    </row>
    <row r="8" spans="1:29" x14ac:dyDescent="0.25">
      <c r="A8" t="s">
        <v>51</v>
      </c>
      <c r="O8" t="s">
        <v>27</v>
      </c>
      <c r="Z8" t="s">
        <v>14</v>
      </c>
      <c r="AA8">
        <v>0</v>
      </c>
      <c r="AB8" t="s">
        <v>100</v>
      </c>
      <c r="AC8" t="s">
        <v>82</v>
      </c>
    </row>
    <row r="9" spans="1:29" x14ac:dyDescent="0.25">
      <c r="A9" t="s">
        <v>54</v>
      </c>
      <c r="J9" t="s">
        <v>29</v>
      </c>
      <c r="Z9" t="s">
        <v>9</v>
      </c>
      <c r="AA9">
        <v>0</v>
      </c>
      <c r="AB9" t="s">
        <v>100</v>
      </c>
      <c r="AC9" t="s">
        <v>83</v>
      </c>
    </row>
    <row r="10" spans="1:29" x14ac:dyDescent="0.25">
      <c r="A10" t="s">
        <v>55</v>
      </c>
      <c r="K10" t="s">
        <v>29</v>
      </c>
      <c r="Z10" t="s">
        <v>10</v>
      </c>
      <c r="AA10">
        <v>3.2209999999999998E-5</v>
      </c>
      <c r="AB10" t="s">
        <v>100</v>
      </c>
      <c r="AC10" t="s">
        <v>84</v>
      </c>
    </row>
    <row r="11" spans="1:29" x14ac:dyDescent="0.25">
      <c r="A11" t="s">
        <v>56</v>
      </c>
      <c r="D11" t="s">
        <v>27</v>
      </c>
      <c r="Z11" t="s">
        <v>3</v>
      </c>
      <c r="AA11">
        <v>0</v>
      </c>
      <c r="AB11" t="s">
        <v>100</v>
      </c>
      <c r="AC11" t="s">
        <v>85</v>
      </c>
    </row>
    <row r="12" spans="1:29" x14ac:dyDescent="0.25">
      <c r="A12" t="s">
        <v>57</v>
      </c>
      <c r="F12" t="s">
        <v>30</v>
      </c>
      <c r="Z12" s="5" t="s">
        <v>5</v>
      </c>
      <c r="AA12">
        <v>0</v>
      </c>
      <c r="AB12" t="s">
        <v>101</v>
      </c>
      <c r="AC12" s="3" t="s">
        <v>95</v>
      </c>
    </row>
    <row r="13" spans="1:29" x14ac:dyDescent="0.25">
      <c r="A13" t="s">
        <v>58</v>
      </c>
      <c r="H13" t="s">
        <v>29</v>
      </c>
      <c r="Z13" t="s">
        <v>7</v>
      </c>
      <c r="AA13">
        <v>1.102E-5</v>
      </c>
      <c r="AB13" t="s">
        <v>100</v>
      </c>
      <c r="AC13" t="s">
        <v>86</v>
      </c>
    </row>
    <row r="14" spans="1:29" x14ac:dyDescent="0.25">
      <c r="A14" t="s">
        <v>59</v>
      </c>
      <c r="P14" t="s">
        <v>30</v>
      </c>
      <c r="Z14" t="s">
        <v>15</v>
      </c>
      <c r="AA14">
        <v>0</v>
      </c>
      <c r="AB14" t="s">
        <v>100</v>
      </c>
      <c r="AC14" t="s">
        <v>87</v>
      </c>
    </row>
    <row r="15" spans="1:29" x14ac:dyDescent="0.25">
      <c r="A15" t="s">
        <v>60</v>
      </c>
      <c r="Q15" t="s">
        <v>28</v>
      </c>
      <c r="Z15" t="s">
        <v>16</v>
      </c>
      <c r="AA15">
        <v>2.7970000000000002E-5</v>
      </c>
      <c r="AB15" t="s">
        <v>100</v>
      </c>
      <c r="AC15" t="s">
        <v>88</v>
      </c>
    </row>
    <row r="16" spans="1:29" x14ac:dyDescent="0.25">
      <c r="A16" t="s">
        <v>61</v>
      </c>
      <c r="S16" t="s">
        <v>29</v>
      </c>
      <c r="Z16" t="s">
        <v>18</v>
      </c>
      <c r="AA16">
        <v>5.6780000000000002E-5</v>
      </c>
      <c r="AB16" t="s">
        <v>100</v>
      </c>
      <c r="AC16" t="s">
        <v>89</v>
      </c>
    </row>
    <row r="17" spans="1:29" x14ac:dyDescent="0.25">
      <c r="A17" t="s">
        <v>62</v>
      </c>
      <c r="V17" t="s">
        <v>27</v>
      </c>
      <c r="Z17" t="s">
        <v>21</v>
      </c>
      <c r="AA17">
        <v>4.5769999999999997E-5</v>
      </c>
      <c r="AB17" t="s">
        <v>100</v>
      </c>
      <c r="AC17" t="s">
        <v>90</v>
      </c>
    </row>
    <row r="18" spans="1:29" x14ac:dyDescent="0.25">
      <c r="A18" t="s">
        <v>63</v>
      </c>
      <c r="C18" t="s">
        <v>27</v>
      </c>
      <c r="Z18" t="s">
        <v>2</v>
      </c>
      <c r="AA18">
        <v>2.1189999999999999E-5</v>
      </c>
      <c r="AB18" t="s">
        <v>100</v>
      </c>
      <c r="AC18" t="s">
        <v>91</v>
      </c>
    </row>
    <row r="19" spans="1:29" x14ac:dyDescent="0.25">
      <c r="A19" t="s">
        <v>66</v>
      </c>
      <c r="B19" t="s">
        <v>30</v>
      </c>
      <c r="Z19" t="s">
        <v>1</v>
      </c>
      <c r="AA19">
        <v>0</v>
      </c>
      <c r="AB19" t="s">
        <v>100</v>
      </c>
      <c r="AC19" t="s">
        <v>92</v>
      </c>
    </row>
    <row r="20" spans="1:29" x14ac:dyDescent="0.25">
      <c r="A20" t="s">
        <v>67</v>
      </c>
      <c r="E20" t="s">
        <v>29</v>
      </c>
      <c r="Z20" s="4" t="s">
        <v>4</v>
      </c>
    </row>
    <row r="21" spans="1:29" x14ac:dyDescent="0.25">
      <c r="A21" t="s">
        <v>68</v>
      </c>
      <c r="G21" t="s">
        <v>27</v>
      </c>
      <c r="Z21" s="4" t="s">
        <v>6</v>
      </c>
    </row>
    <row r="22" spans="1:29" x14ac:dyDescent="0.25">
      <c r="A22" t="s">
        <v>70</v>
      </c>
      <c r="L22" t="s">
        <v>30</v>
      </c>
      <c r="Z22" t="s">
        <v>11</v>
      </c>
      <c r="AA22">
        <v>3.3909999999999998E-6</v>
      </c>
      <c r="AB22" t="s">
        <v>100</v>
      </c>
      <c r="AC22" t="s">
        <v>93</v>
      </c>
    </row>
    <row r="23" spans="1:29" x14ac:dyDescent="0.25">
      <c r="A23" t="s">
        <v>71</v>
      </c>
      <c r="M23" t="s">
        <v>27</v>
      </c>
      <c r="Z23" t="s">
        <v>12</v>
      </c>
      <c r="AA23">
        <v>0</v>
      </c>
      <c r="AB23" t="s">
        <v>100</v>
      </c>
      <c r="AC23" t="s">
        <v>94</v>
      </c>
    </row>
    <row r="24" spans="1:29" x14ac:dyDescent="0.25">
      <c r="A24" t="s">
        <v>72</v>
      </c>
      <c r="U24" t="s">
        <v>30</v>
      </c>
      <c r="Z24" s="4" t="s">
        <v>20</v>
      </c>
    </row>
    <row r="25" spans="1:29" x14ac:dyDescent="0.25">
      <c r="A25" t="s">
        <v>73</v>
      </c>
      <c r="X25" t="s">
        <v>29</v>
      </c>
      <c r="Z25" s="5" t="s">
        <v>23</v>
      </c>
      <c r="AB25" t="s">
        <v>101</v>
      </c>
      <c r="AC25" t="s">
        <v>97</v>
      </c>
    </row>
    <row r="26" spans="1:29" x14ac:dyDescent="0.25">
      <c r="A26" t="s">
        <v>74</v>
      </c>
      <c r="T26" t="s">
        <v>28</v>
      </c>
      <c r="Z26" s="4" t="s">
        <v>19</v>
      </c>
    </row>
    <row r="27" spans="1:29" x14ac:dyDescent="0.25">
      <c r="A27" t="s">
        <v>75</v>
      </c>
      <c r="R27" t="s">
        <v>30</v>
      </c>
      <c r="Z27" s="5" t="s">
        <v>17</v>
      </c>
      <c r="AB27" t="s">
        <v>102</v>
      </c>
      <c r="AC27" t="s">
        <v>98</v>
      </c>
    </row>
    <row r="28" spans="1:29" x14ac:dyDescent="0.25">
      <c r="Z28" t="s">
        <v>96</v>
      </c>
      <c r="AA28">
        <f>SUM(AA4:AA27)*100</f>
        <v>0.55205460000000017</v>
      </c>
    </row>
  </sheetData>
  <hyperlinks>
    <hyperlink ref="AC12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Salida_R</vt:lpstr>
      <vt:lpstr>Filtrada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CBM</cp:lastModifiedBy>
  <dcterms:created xsi:type="dcterms:W3CDTF">2026-03-24T12:43:12Z</dcterms:created>
  <dcterms:modified xsi:type="dcterms:W3CDTF">2026-04-09T10:09:49Z</dcterms:modified>
</cp:coreProperties>
</file>