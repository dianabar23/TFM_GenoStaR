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"/>
    </mc:Choice>
  </mc:AlternateContent>
  <bookViews>
    <workbookView xWindow="0" yWindow="0" windowWidth="23010" windowHeight="9015" activeTab="1"/>
  </bookViews>
  <sheets>
    <sheet name="Salida_R" sheetId="1" r:id="rId1"/>
    <sheet name="Filtrada" sheetId="2" r:id="rId2"/>
  </sheets>
  <calcPr calcId="162913"/>
</workbook>
</file>

<file path=xl/calcChain.xml><?xml version="1.0" encoding="utf-8"?>
<calcChain xmlns="http://schemas.openxmlformats.org/spreadsheetml/2006/main">
  <c r="N16" i="2" l="1"/>
</calcChain>
</file>

<file path=xl/sharedStrings.xml><?xml version="1.0" encoding="utf-8"?>
<sst xmlns="http://schemas.openxmlformats.org/spreadsheetml/2006/main" count="159" uniqueCount="76">
  <si>
    <t>rsID</t>
  </si>
  <si>
    <t>rs55752064</t>
  </si>
  <si>
    <t>rs1564656981</t>
  </si>
  <si>
    <t>rs1564657013</t>
  </si>
  <si>
    <t>rs145328984</t>
  </si>
  <si>
    <t>rs1564660997</t>
  </si>
  <si>
    <t>rs1288601658</t>
  </si>
  <si>
    <t>rs17885179</t>
  </si>
  <si>
    <t>rs370803989</t>
  </si>
  <si>
    <t>rs6413438</t>
  </si>
  <si>
    <t>rs375781227</t>
  </si>
  <si>
    <t>X</t>
  </si>
  <si>
    <t>CYP2C19 Allele</t>
  </si>
  <si>
    <t>*1</t>
  </si>
  <si>
    <t>T</t>
  </si>
  <si>
    <t>A</t>
  </si>
  <si>
    <t>C</t>
  </si>
  <si>
    <t>G</t>
  </si>
  <si>
    <t>*2</t>
  </si>
  <si>
    <t>*3</t>
  </si>
  <si>
    <t>*4</t>
  </si>
  <si>
    <t>*5</t>
  </si>
  <si>
    <t>*6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</si>
  <si>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</si>
  <si>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</si>
  <si>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</si>
  <si>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</si>
  <si>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</si>
  <si>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</si>
  <si>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</si>
  <si>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</si>
  <si>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</si>
  <si>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</si>
  <si>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*17</t>
  </si>
  <si>
    <t>*18</t>
  </si>
  <si>
    <t>*19</t>
  </si>
  <si>
    <t>*22</t>
  </si>
  <si>
    <t>*23</t>
  </si>
  <si>
    <t>*24</t>
  </si>
  <si>
    <t>*25</t>
  </si>
  <si>
    <t>*26</t>
  </si>
  <si>
    <t>*28</t>
  </si>
  <si>
    <t>*29</t>
  </si>
  <si>
    <t>*30</t>
  </si>
  <si>
    <t>*31</t>
  </si>
  <si>
    <t>*32</t>
  </si>
  <si>
    <t>*33</t>
  </si>
  <si>
    <t>*34</t>
  </si>
  <si>
    <t>*35</t>
  </si>
  <si>
    <t>*36</t>
  </si>
  <si>
    <t>PV00730</t>
  </si>
  <si>
    <t>*37</t>
  </si>
  <si>
    <t>PV00732</t>
  </si>
  <si>
    <t>*38</t>
  </si>
  <si>
    <t>*39</t>
  </si>
  <si>
    <t xml:space="preserve">MAF Europeos </t>
  </si>
  <si>
    <t>Link</t>
  </si>
  <si>
    <t>CYP2C19_frequency_table</t>
  </si>
  <si>
    <t xml:space="preserve">CYP2C19_frequency_table </t>
  </si>
  <si>
    <t xml:space="preserve">Base de datos </t>
  </si>
  <si>
    <t xml:space="preserve">ClinPGX </t>
  </si>
  <si>
    <t>rs/*alelo</t>
  </si>
  <si>
    <t>https://genome.ucsc.edu/cgi-bin/hgTracks?db=hg38&amp;lastVirtModeType=default&amp;lastVirtModeExtraState=&amp;virtModeType=default&amp;virtMode=0&amp;nonVirtPosition=&amp;position=chr10%3A94762756%2D94762956&amp;hgsid=3905166663_KBL3qZi4UyAi0gcJo5M43LQObARb</t>
  </si>
  <si>
    <t>GenomAD</t>
  </si>
  <si>
    <t xml:space="preserve">Error </t>
  </si>
  <si>
    <t>https://gnomad.broadinstitute.org/variant/10-94781944-G-A?dataset=gnomad_r4</t>
  </si>
  <si>
    <t>https://genome.ucsc.edu/cgi-bin/hgTracks?db=hg38&amp;lastVirtModeType=default&amp;lastVirtModeExtraState=&amp;virtModeType=default&amp;virtMode=0&amp;nonVirtPosition=&amp;position=chr10%3A94762688%2D94762888&amp;hgsid=3905180785_a4EkAbsbsyppm6wDEZTgYTWmBtEY</t>
  </si>
  <si>
    <t>https://gnomad.broadinstitute.org/variant/10-94775106-C-T?dataset=gnomad_r4</t>
  </si>
  <si>
    <t>https://genome.ucsc.edu/cgi-bin/hgTracks?db=hg38&amp;lastVirtModeType=default&amp;lastVirtModeExtraState=&amp;virtModeType=default&amp;virtMode=0&amp;nonVirtPosition=&amp;position=chr10%3A94775021%2D94775221&amp;hgsid=3905183643_Af0DEuziLYuW4EooN3jrNRaNcOjr</t>
  </si>
  <si>
    <t>https://gnomad.broadinstitute.org/variant/10-94775185-A-G?dataset=gnomad_r4</t>
  </si>
  <si>
    <t>https://gnomad.broadinstitute.org/variant/10-94780579-G-A?dataset=gnomad_r4</t>
  </si>
  <si>
    <t>https://gnomad.broadinstitute.org/variant/10-94775423-A-C?dataset=gnomad_r4</t>
  </si>
  <si>
    <t>https://www.ncbi.nlm.nih.gov/snp/rs1564657013</t>
  </si>
  <si>
    <t>UCSC, dbSNP</t>
  </si>
  <si>
    <t>https://www.ncbi.nlm.nih.gov/snp/rs1564656981</t>
  </si>
  <si>
    <t>https://www.ncbi.nlm.nih.gov/snp/rs1564660997#hgvs_tab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</si>
</sst>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11" fontId="0" fillId="0" borderId="0" xfId="0" applyNumberFormat="1"/>
    <xf numFmtId="0" fontId="2" fillId="0" borderId="0" xfId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genome.ucsc.edu/cgi-bin/hgTracks?db=hg38&amp;lastVirtModeType=default&amp;lastVirtModeExtraState=&amp;virtModeType=default&amp;virtMode=0&amp;nonVirtPosition=&amp;position=chr10%3A94762688%2D94762888&amp;hgsid=3905180785_a4EkAbsbsyppm6wDEZTgYTWmBtEY" TargetMode="External"/><Relationship Id="rId1" Type="http://schemas.openxmlformats.org/officeDocument/2006/relationships/hyperlink" Target="https://genome.ucsc.edu/cgi-bin/hgTracks?db=hg38&amp;lastVirtModeType=default&amp;lastVirtModeExtraState=&amp;virtModeType=default&amp;virtMode=0&amp;nonVirtPosition=&amp;position=chr10%3A94762756%2D94762956&amp;hgsid=3905166663_KBL3qZi4UyAi0gcJo5M43LQObAR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selection sqref="A1:XFD1048576"/>
    </sheetView>
  </sheetViews>
  <sheetFormatPr baseColWidth="10" defaultColWidth="9.140625"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</row>
    <row r="3" spans="1:12" x14ac:dyDescent="0.25">
      <c r="A3" t="s">
        <v>13</v>
      </c>
      <c r="B3" t="s">
        <v>14</v>
      </c>
      <c r="C3" t="s">
        <v>15</v>
      </c>
      <c r="D3" t="s">
        <v>15</v>
      </c>
      <c r="E3" t="s">
        <v>16</v>
      </c>
      <c r="F3" t="s">
        <v>16</v>
      </c>
      <c r="G3" t="s">
        <v>15</v>
      </c>
      <c r="H3" t="s">
        <v>15</v>
      </c>
      <c r="I3" t="s">
        <v>17</v>
      </c>
      <c r="J3" t="s">
        <v>16</v>
      </c>
      <c r="K3" t="s">
        <v>17</v>
      </c>
    </row>
    <row r="4" spans="1:12" x14ac:dyDescent="0.25">
      <c r="A4" t="s">
        <v>18</v>
      </c>
    </row>
    <row r="5" spans="1:12" x14ac:dyDescent="0.25">
      <c r="A5" t="s">
        <v>19</v>
      </c>
    </row>
    <row r="6" spans="1:12" x14ac:dyDescent="0.25">
      <c r="A6" t="s">
        <v>20</v>
      </c>
    </row>
    <row r="7" spans="1:12" x14ac:dyDescent="0.25">
      <c r="A7" t="s">
        <v>21</v>
      </c>
    </row>
    <row r="8" spans="1:12" x14ac:dyDescent="0.25">
      <c r="A8" t="s">
        <v>22</v>
      </c>
    </row>
    <row r="9" spans="1:12" x14ac:dyDescent="0.25">
      <c r="A9" t="s">
        <v>23</v>
      </c>
    </row>
    <row r="10" spans="1:12" x14ac:dyDescent="0.25">
      <c r="A10" t="s">
        <v>24</v>
      </c>
    </row>
    <row r="11" spans="1:12" x14ac:dyDescent="0.25">
      <c r="A11" t="s">
        <v>25</v>
      </c>
    </row>
    <row r="12" spans="1:12" x14ac:dyDescent="0.25">
      <c r="A12" t="s">
        <v>26</v>
      </c>
      <c r="J12" t="s">
        <v>14</v>
      </c>
    </row>
    <row r="13" spans="1:12" x14ac:dyDescent="0.25">
      <c r="A13" t="s">
        <v>27</v>
      </c>
    </row>
    <row r="14" spans="1:12" x14ac:dyDescent="0.25">
      <c r="A14" t="s">
        <v>28</v>
      </c>
    </row>
    <row r="15" spans="1:12" x14ac:dyDescent="0.25">
      <c r="A15" t="s">
        <v>29</v>
      </c>
    </row>
    <row r="16" spans="1:12" x14ac:dyDescent="0.25">
      <c r="A16" t="s">
        <v>30</v>
      </c>
      <c r="B16" t="s">
        <v>16</v>
      </c>
    </row>
    <row r="17" spans="1:11" x14ac:dyDescent="0.25">
      <c r="A17" t="s">
        <v>31</v>
      </c>
    </row>
    <row r="18" spans="1:11" x14ac:dyDescent="0.25">
      <c r="A18" t="s">
        <v>32</v>
      </c>
    </row>
    <row r="19" spans="1:11" x14ac:dyDescent="0.25">
      <c r="A19" t="s">
        <v>33</v>
      </c>
    </row>
    <row r="20" spans="1:11" x14ac:dyDescent="0.25">
      <c r="A20" t="s">
        <v>34</v>
      </c>
    </row>
    <row r="21" spans="1:11" x14ac:dyDescent="0.25">
      <c r="A21" t="s">
        <v>35</v>
      </c>
      <c r="D21" t="s">
        <v>17</v>
      </c>
    </row>
    <row r="22" spans="1:11" x14ac:dyDescent="0.25">
      <c r="A22" t="s">
        <v>36</v>
      </c>
    </row>
    <row r="23" spans="1:11" x14ac:dyDescent="0.25">
      <c r="A23" t="s">
        <v>37</v>
      </c>
    </row>
    <row r="24" spans="1:11" x14ac:dyDescent="0.25">
      <c r="A24" t="s">
        <v>38</v>
      </c>
    </row>
    <row r="25" spans="1:11" x14ac:dyDescent="0.25">
      <c r="A25" t="s">
        <v>39</v>
      </c>
    </row>
    <row r="26" spans="1:11" x14ac:dyDescent="0.25">
      <c r="A26" t="s">
        <v>40</v>
      </c>
      <c r="K26" t="s">
        <v>15</v>
      </c>
    </row>
    <row r="27" spans="1:11" x14ac:dyDescent="0.25">
      <c r="A27" t="s">
        <v>41</v>
      </c>
    </row>
    <row r="28" spans="1:11" x14ac:dyDescent="0.25">
      <c r="A28" t="s">
        <v>42</v>
      </c>
      <c r="C28" t="s">
        <v>14</v>
      </c>
    </row>
    <row r="29" spans="1:11" x14ac:dyDescent="0.25">
      <c r="A29" t="s">
        <v>43</v>
      </c>
      <c r="E29" t="s">
        <v>14</v>
      </c>
    </row>
    <row r="30" spans="1:11" x14ac:dyDescent="0.25">
      <c r="A30" t="s">
        <v>44</v>
      </c>
      <c r="F30" t="s">
        <v>14</v>
      </c>
    </row>
    <row r="31" spans="1:11" x14ac:dyDescent="0.25">
      <c r="A31" t="s">
        <v>45</v>
      </c>
      <c r="G31" t="s">
        <v>17</v>
      </c>
    </row>
    <row r="32" spans="1:11" x14ac:dyDescent="0.25">
      <c r="A32" t="s">
        <v>46</v>
      </c>
      <c r="I32" t="s">
        <v>15</v>
      </c>
    </row>
    <row r="33" spans="1:12" x14ac:dyDescent="0.25">
      <c r="A33" t="s">
        <v>47</v>
      </c>
    </row>
    <row r="34" spans="1:12" x14ac:dyDescent="0.25">
      <c r="A34" t="s">
        <v>48</v>
      </c>
    </row>
    <row r="35" spans="1:12" x14ac:dyDescent="0.25">
      <c r="A35" t="s">
        <v>49</v>
      </c>
      <c r="L35" t="s">
        <v>50</v>
      </c>
    </row>
    <row r="36" spans="1:12" x14ac:dyDescent="0.25">
      <c r="A36" t="s">
        <v>51</v>
      </c>
      <c r="L36" t="s">
        <v>52</v>
      </c>
    </row>
    <row r="37" spans="1:12" x14ac:dyDescent="0.25">
      <c r="A37" t="s">
        <v>53</v>
      </c>
    </row>
    <row r="38" spans="1:12" x14ac:dyDescent="0.25">
      <c r="A38" t="s">
        <v>54</v>
      </c>
      <c r="H3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Q19" sqref="Q19"/>
    </sheetView>
  </sheetViews>
  <sheetFormatPr baseColWidth="10" defaultColWidth="9.140625" defaultRowHeight="15" x14ac:dyDescent="0.25"/>
  <cols>
    <col min="13" max="13" width="14.28515625" customWidth="1"/>
  </cols>
  <sheetData>
    <row r="1" spans="1:17" s="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61</v>
      </c>
      <c r="N1" s="1" t="s">
        <v>55</v>
      </c>
      <c r="O1" s="1" t="s">
        <v>59</v>
      </c>
      <c r="P1" s="1" t="s">
        <v>56</v>
      </c>
    </row>
    <row r="2" spans="1:17" x14ac:dyDescent="0.25">
      <c r="A2" t="s">
        <v>12</v>
      </c>
    </row>
    <row r="3" spans="1:17" x14ac:dyDescent="0.25">
      <c r="A3" t="s">
        <v>13</v>
      </c>
      <c r="B3" t="s">
        <v>14</v>
      </c>
      <c r="C3" t="s">
        <v>15</v>
      </c>
      <c r="D3" t="s">
        <v>15</v>
      </c>
      <c r="E3" t="s">
        <v>16</v>
      </c>
      <c r="F3" t="s">
        <v>16</v>
      </c>
      <c r="G3" t="s">
        <v>15</v>
      </c>
      <c r="H3" t="s">
        <v>15</v>
      </c>
      <c r="I3" t="s">
        <v>17</v>
      </c>
      <c r="J3" t="s">
        <v>16</v>
      </c>
      <c r="K3" t="s">
        <v>17</v>
      </c>
    </row>
    <row r="4" spans="1:17" x14ac:dyDescent="0.25">
      <c r="A4" t="s">
        <v>26</v>
      </c>
      <c r="J4" t="s">
        <v>14</v>
      </c>
      <c r="M4" s="3" t="s">
        <v>26</v>
      </c>
      <c r="N4">
        <v>0</v>
      </c>
      <c r="O4" t="s">
        <v>60</v>
      </c>
      <c r="P4" t="s">
        <v>58</v>
      </c>
    </row>
    <row r="5" spans="1:17" x14ac:dyDescent="0.25">
      <c r="A5" t="s">
        <v>30</v>
      </c>
      <c r="B5" t="s">
        <v>16</v>
      </c>
      <c r="M5" s="3" t="s">
        <v>30</v>
      </c>
      <c r="N5">
        <v>0</v>
      </c>
      <c r="O5" t="s">
        <v>60</v>
      </c>
      <c r="P5" t="s">
        <v>57</v>
      </c>
    </row>
    <row r="6" spans="1:17" x14ac:dyDescent="0.25">
      <c r="A6" t="s">
        <v>35</v>
      </c>
      <c r="D6" t="s">
        <v>17</v>
      </c>
      <c r="M6" s="7" t="s">
        <v>3</v>
      </c>
      <c r="O6" t="s">
        <v>73</v>
      </c>
      <c r="P6" s="6" t="s">
        <v>62</v>
      </c>
      <c r="Q6" t="s">
        <v>72</v>
      </c>
    </row>
    <row r="7" spans="1:17" x14ac:dyDescent="0.25">
      <c r="A7" t="s">
        <v>40</v>
      </c>
      <c r="K7" t="s">
        <v>15</v>
      </c>
      <c r="M7" t="s">
        <v>10</v>
      </c>
      <c r="N7">
        <v>0</v>
      </c>
      <c r="O7" t="s">
        <v>63</v>
      </c>
      <c r="P7" t="s">
        <v>65</v>
      </c>
    </row>
    <row r="8" spans="1:17" x14ac:dyDescent="0.25">
      <c r="A8" t="s">
        <v>42</v>
      </c>
      <c r="C8" t="s">
        <v>14</v>
      </c>
      <c r="M8" s="7" t="s">
        <v>2</v>
      </c>
      <c r="O8" t="s">
        <v>73</v>
      </c>
      <c r="P8" s="6" t="s">
        <v>66</v>
      </c>
      <c r="Q8" t="s">
        <v>74</v>
      </c>
    </row>
    <row r="9" spans="1:17" x14ac:dyDescent="0.25">
      <c r="A9" t="s">
        <v>43</v>
      </c>
      <c r="E9" t="s">
        <v>14</v>
      </c>
      <c r="M9" t="s">
        <v>4</v>
      </c>
      <c r="N9">
        <v>8.3900000000000006E-5</v>
      </c>
      <c r="O9" t="s">
        <v>63</v>
      </c>
      <c r="P9" t="s">
        <v>67</v>
      </c>
    </row>
    <row r="10" spans="1:17" x14ac:dyDescent="0.25">
      <c r="A10" t="s">
        <v>44</v>
      </c>
      <c r="F10" t="s">
        <v>14</v>
      </c>
      <c r="M10" s="7" t="s">
        <v>5</v>
      </c>
      <c r="O10" t="s">
        <v>73</v>
      </c>
      <c r="P10" t="s">
        <v>68</v>
      </c>
      <c r="Q10" t="s">
        <v>75</v>
      </c>
    </row>
    <row r="11" spans="1:17" x14ac:dyDescent="0.25">
      <c r="A11" t="s">
        <v>45</v>
      </c>
      <c r="G11" t="s">
        <v>17</v>
      </c>
      <c r="M11" t="s">
        <v>6</v>
      </c>
      <c r="N11" s="5">
        <v>8.4740000000000003E-7</v>
      </c>
      <c r="O11" t="s">
        <v>63</v>
      </c>
      <c r="P11" t="s">
        <v>69</v>
      </c>
    </row>
    <row r="12" spans="1:17" x14ac:dyDescent="0.25">
      <c r="A12" t="s">
        <v>46</v>
      </c>
      <c r="I12" t="s">
        <v>15</v>
      </c>
      <c r="M12" t="s">
        <v>8</v>
      </c>
      <c r="N12">
        <v>6.1870000000000002E-5</v>
      </c>
      <c r="O12" t="s">
        <v>63</v>
      </c>
      <c r="P12" t="s">
        <v>70</v>
      </c>
    </row>
    <row r="13" spans="1:17" x14ac:dyDescent="0.25">
      <c r="A13" t="s">
        <v>49</v>
      </c>
      <c r="L13" t="s">
        <v>50</v>
      </c>
      <c r="M13" s="4" t="s">
        <v>11</v>
      </c>
    </row>
    <row r="14" spans="1:17" x14ac:dyDescent="0.25">
      <c r="A14" t="s">
        <v>51</v>
      </c>
      <c r="L14" t="s">
        <v>52</v>
      </c>
      <c r="M14" s="4" t="s">
        <v>11</v>
      </c>
    </row>
    <row r="15" spans="1:17" x14ac:dyDescent="0.25">
      <c r="A15" t="s">
        <v>54</v>
      </c>
      <c r="H15" t="s">
        <v>16</v>
      </c>
      <c r="M15" t="s">
        <v>7</v>
      </c>
      <c r="N15">
        <v>8.051E-5</v>
      </c>
      <c r="O15" t="s">
        <v>63</v>
      </c>
      <c r="P15" t="s">
        <v>71</v>
      </c>
    </row>
    <row r="16" spans="1:17" x14ac:dyDescent="0.25">
      <c r="M16" t="s">
        <v>64</v>
      </c>
      <c r="N16">
        <f>SUM(N4:N15)*100</f>
        <v>2.2712740000000002E-2</v>
      </c>
    </row>
  </sheetData>
  <hyperlinks>
    <hyperlink ref="P6" r:id="rId1"/>
    <hyperlink ref="P8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Salida_R</vt:lpstr>
      <vt:lpstr>Filtrada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2026-04-09T09:41:44Z</dcterms:created>
  <dcterms:modified xsi:type="dcterms:W3CDTF">2026-04-09T15:07:12Z</dcterms:modified>
</cp:coreProperties>
</file>