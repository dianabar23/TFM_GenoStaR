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toma\Fobos\Proyecto_Diana\TFM_GenoStaR\"/>
    </mc:Choice>
  </mc:AlternateContent>
  <bookViews>
    <workbookView xWindow="0" yWindow="0" windowWidth="25200" windowHeight="111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B3" i="1" l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<sst xmlns="http://schemas.openxmlformats.org/spreadsheetml/2006/main" count="14" uniqueCount="14">
  <si>
    <t>CYP</t>
  </si>
  <si>
    <t>CYP1A2</t>
  </si>
  <si>
    <t>CYP3A4</t>
  </si>
  <si>
    <t>CYP3A5</t>
  </si>
  <si>
    <t>CYP2C19</t>
  </si>
  <si>
    <t>CYP2C9</t>
  </si>
  <si>
    <t>CYP2B6</t>
  </si>
  <si>
    <t>CYP2D6</t>
  </si>
  <si>
    <t xml:space="preserve">rs comunes </t>
  </si>
  <si>
    <t>rs totales</t>
  </si>
  <si>
    <t xml:space="preserve">rs solo genostar </t>
  </si>
  <si>
    <t xml:space="preserve">rs solo nosotros </t>
  </si>
  <si>
    <t xml:space="preserve">Error rs solo genostar </t>
  </si>
  <si>
    <t>Call rate genostar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</si>
</sst>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 applyFill="1"/>
    <xf numFmtId="2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F8" sqref="F8"/>
    </sheetView>
  </sheetViews>
  <sheetFormatPr baseColWidth="10" defaultRowHeight="15" x14ac:dyDescent="0.25"/>
  <cols>
    <col min="2" max="2" width="13" customWidth="1"/>
    <col min="4" max="4" width="20" customWidth="1"/>
    <col min="5" max="5" width="14.5703125" customWidth="1"/>
    <col min="6" max="6" width="19.28515625" customWidth="1"/>
    <col min="7" max="7" width="18.140625" customWidth="1"/>
  </cols>
  <sheetData>
    <row r="1" spans="1:7" x14ac:dyDescent="0.25">
      <c r="A1" t="s">
        <v>0</v>
      </c>
      <c r="B1" t="s">
        <v>9</v>
      </c>
      <c r="C1" t="s">
        <v>8</v>
      </c>
      <c r="D1" t="s">
        <v>11</v>
      </c>
      <c r="E1" s="3" t="s">
        <v>10</v>
      </c>
      <c r="F1" s="3" t="s">
        <v>12</v>
      </c>
      <c r="G1" s="3" t="s">
        <v>13</v>
      </c>
    </row>
    <row r="2" spans="1:7" x14ac:dyDescent="0.25">
      <c r="A2" t="s">
        <v>1</v>
      </c>
      <c r="B2">
        <f>SUM(C2:E2)</f>
        <v>106</v>
      </c>
      <c r="C2">
        <v>22</v>
      </c>
      <c r="D2">
        <v>60</v>
      </c>
      <c r="E2">
        <v>24</v>
      </c>
      <c r="F2" s="1">
        <v>0.18621659999999998</v>
      </c>
      <c r="G2">
        <v>100</v>
      </c>
    </row>
    <row r="3" spans="1:7" x14ac:dyDescent="0.25">
      <c r="A3" t="s">
        <v>2</v>
      </c>
      <c r="B3">
        <f t="shared" ref="B3:B8" si="0">SUM(C3:E3)</f>
        <v>112</v>
      </c>
      <c r="C3">
        <v>18</v>
      </c>
      <c r="D3">
        <v>70</v>
      </c>
      <c r="E3">
        <v>24</v>
      </c>
      <c r="F3" s="1">
        <v>0.55235460000000003</v>
      </c>
      <c r="G3">
        <v>99.39</v>
      </c>
    </row>
    <row r="4" spans="1:7" x14ac:dyDescent="0.25">
      <c r="A4" t="s">
        <v>3</v>
      </c>
      <c r="B4">
        <f t="shared" si="0"/>
        <v>78</v>
      </c>
      <c r="C4">
        <v>4</v>
      </c>
      <c r="D4">
        <v>73</v>
      </c>
      <c r="E4">
        <v>1</v>
      </c>
      <c r="F4" s="1">
        <v>2.4000000000000001E-4</v>
      </c>
      <c r="G4">
        <v>100</v>
      </c>
    </row>
    <row r="5" spans="1:7" x14ac:dyDescent="0.25">
      <c r="A5" t="s">
        <v>4</v>
      </c>
      <c r="B5">
        <f t="shared" si="0"/>
        <v>338</v>
      </c>
      <c r="C5">
        <v>24</v>
      </c>
      <c r="D5">
        <v>303</v>
      </c>
      <c r="E5">
        <v>11</v>
      </c>
      <c r="F5" s="1">
        <v>3.1666739999999999E-2</v>
      </c>
      <c r="G5">
        <v>32.729999999999997</v>
      </c>
    </row>
    <row r="6" spans="1:7" x14ac:dyDescent="0.25">
      <c r="A6" t="s">
        <v>5</v>
      </c>
      <c r="B6">
        <f t="shared" si="0"/>
        <v>342</v>
      </c>
      <c r="C6">
        <v>41</v>
      </c>
      <c r="D6">
        <v>262</v>
      </c>
      <c r="E6">
        <v>39</v>
      </c>
      <c r="F6" s="5">
        <v>3.4952499999999997E-2</v>
      </c>
      <c r="G6">
        <v>98.94</v>
      </c>
    </row>
    <row r="7" spans="1:7" x14ac:dyDescent="0.25">
      <c r="A7" t="s">
        <v>6</v>
      </c>
      <c r="B7">
        <f t="shared" si="0"/>
        <v>280</v>
      </c>
      <c r="C7">
        <v>30</v>
      </c>
      <c r="D7">
        <v>232</v>
      </c>
      <c r="E7">
        <v>18</v>
      </c>
      <c r="F7" s="2">
        <v>20.05115584</v>
      </c>
      <c r="G7" s="4">
        <v>96.06</v>
      </c>
    </row>
    <row r="8" spans="1:7" x14ac:dyDescent="0.25">
      <c r="A8" t="s">
        <v>7</v>
      </c>
      <c r="B8">
        <f t="shared" si="0"/>
        <v>227</v>
      </c>
      <c r="C8">
        <v>40</v>
      </c>
      <c r="D8">
        <v>77</v>
      </c>
      <c r="E8">
        <v>110</v>
      </c>
      <c r="F8" s="1"/>
      <c r="G8">
        <v>47.58</v>
      </c>
    </row>
    <row r="9" spans="1:7" x14ac:dyDescent="0.25">
      <c r="F9">
        <f>SUM(F2:F8)</f>
        <v>20.856586279999998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2026-04-13T08:53:34Z</dcterms:created>
  <dcterms:modified xsi:type="dcterms:W3CDTF">2026-05-13T13:37:49Z</dcterms:modified>
</cp:coreProperties>
</file>