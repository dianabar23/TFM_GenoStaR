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X:\Fobos\Proyecto_Diana\TFM_GenoStaR\"/>
    </mc:Choice>
  </mc:AlternateContent>
  <bookViews>
    <workbookView xWindow="0" yWindow="0" windowWidth="23010" windowHeight="901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" i="1" l="1"/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<sst xmlns="http://schemas.openxmlformats.org/spreadsheetml/2006/main" count="15" uniqueCount="15">
  <si>
    <t>CYP</t>
  </si>
  <si>
    <t>CYP1A2</t>
  </si>
  <si>
    <t>CYP3A4</t>
  </si>
  <si>
    <t>CYP3A5</t>
  </si>
  <si>
    <t>CYP2C19</t>
  </si>
  <si>
    <t>CYP2C9</t>
  </si>
  <si>
    <t>CYP2B6</t>
  </si>
  <si>
    <t>CYP2D6</t>
  </si>
  <si>
    <t xml:space="preserve">rs comunes </t>
  </si>
  <si>
    <t>rs totales</t>
  </si>
  <si>
    <t xml:space="preserve">rs solo genostar </t>
  </si>
  <si>
    <t xml:space="preserve">rs solo nosotros </t>
  </si>
  <si>
    <t xml:space="preserve">Error rs solo genostar </t>
  </si>
  <si>
    <t xml:space="preserve">nº *alelos no tenidos en cuenta en genostar </t>
  </si>
  <si>
    <t>nº *alelos sin frec poblacional de los *alelos no tenidos en cuenta en genostar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</si>
</sst>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0.000000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/>
    <xf numFmtId="0" fontId="0" fillId="0" borderId="0" xfId="0"/>
    <xf numFmtId="168" fontId="0" fillId="0" borderId="0" xfId="0" applyNumberFormat="1"/>
    <xf numFmtId="0" fontId="0" fillId="3" borderId="0" xfId="0" applyFill="1"/>
    <xf numFmtId="0" fontId="0" fillId="2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D7" sqref="D7"/>
    </sheetView>
  </sheetViews>
  <sheetFormatPr baseColWidth="10" defaultRowHeight="15" x14ac:dyDescent="0.25"/>
  <cols>
    <col min="2" max="2" width="13" customWidth="1"/>
    <col min="4" max="4" width="20" customWidth="1"/>
    <col min="5" max="5" width="14.5703125" customWidth="1"/>
    <col min="6" max="6" width="14.5703125" style="2" customWidth="1"/>
    <col min="7" max="7" width="15.28515625" customWidth="1"/>
    <col min="8" max="8" width="19.28515625" customWidth="1"/>
    <col min="9" max="9" width="18.140625" customWidth="1"/>
  </cols>
  <sheetData>
    <row r="1" spans="1:9" x14ac:dyDescent="0.25">
      <c r="A1" t="s">
        <v>0</v>
      </c>
      <c r="B1" t="s">
        <v>9</v>
      </c>
      <c r="C1" t="s">
        <v>8</v>
      </c>
      <c r="D1" t="s">
        <v>11</v>
      </c>
      <c r="E1" s="4" t="s">
        <v>10</v>
      </c>
      <c r="F1" s="4" t="s">
        <v>13</v>
      </c>
      <c r="G1" s="4" t="s">
        <v>14</v>
      </c>
      <c r="H1" s="4" t="s">
        <v>12</v>
      </c>
    </row>
    <row r="2" spans="1:9" x14ac:dyDescent="0.25">
      <c r="A2" t="s">
        <v>1</v>
      </c>
      <c r="B2">
        <f>SUM(C2:E2)</f>
        <v>106</v>
      </c>
      <c r="C2">
        <v>22</v>
      </c>
      <c r="D2">
        <v>60</v>
      </c>
      <c r="E2">
        <v>24</v>
      </c>
      <c r="F2" s="2">
        <v>24</v>
      </c>
      <c r="G2" s="1">
        <v>1</v>
      </c>
      <c r="H2" s="2">
        <v>0.18621659999999998</v>
      </c>
    </row>
    <row r="3" spans="1:9" x14ac:dyDescent="0.25">
      <c r="A3" t="s">
        <v>2</v>
      </c>
      <c r="B3">
        <f t="shared" ref="B3:B8" si="0">SUM(C3:E3)</f>
        <v>112</v>
      </c>
      <c r="C3">
        <v>18</v>
      </c>
      <c r="D3">
        <v>70</v>
      </c>
      <c r="E3">
        <v>24</v>
      </c>
      <c r="F3" s="2">
        <v>24</v>
      </c>
      <c r="G3">
        <v>5</v>
      </c>
      <c r="H3" s="2">
        <v>0.55205460000000017</v>
      </c>
    </row>
    <row r="4" spans="1:9" x14ac:dyDescent="0.25">
      <c r="A4" t="s">
        <v>3</v>
      </c>
      <c r="B4">
        <f t="shared" si="0"/>
        <v>78</v>
      </c>
      <c r="C4">
        <v>4</v>
      </c>
      <c r="D4">
        <v>73</v>
      </c>
      <c r="E4">
        <v>1</v>
      </c>
      <c r="F4" s="2">
        <v>1</v>
      </c>
      <c r="G4">
        <v>0</v>
      </c>
      <c r="H4" s="2">
        <v>0</v>
      </c>
    </row>
    <row r="5" spans="1:9" x14ac:dyDescent="0.25">
      <c r="A5" t="s">
        <v>4</v>
      </c>
      <c r="B5">
        <f t="shared" si="0"/>
        <v>338</v>
      </c>
      <c r="C5">
        <v>24</v>
      </c>
      <c r="D5">
        <v>303</v>
      </c>
      <c r="E5">
        <v>11</v>
      </c>
      <c r="F5" s="2">
        <v>12</v>
      </c>
      <c r="G5">
        <v>5</v>
      </c>
      <c r="H5" s="2">
        <v>2.2712740000000002E-2</v>
      </c>
    </row>
    <row r="6" spans="1:9" x14ac:dyDescent="0.25">
      <c r="A6" t="s">
        <v>5</v>
      </c>
      <c r="B6">
        <f t="shared" si="0"/>
        <v>342</v>
      </c>
      <c r="C6">
        <v>41</v>
      </c>
      <c r="D6">
        <v>262</v>
      </c>
      <c r="E6">
        <v>39</v>
      </c>
      <c r="F6" s="2">
        <v>39</v>
      </c>
      <c r="G6">
        <v>18</v>
      </c>
      <c r="H6" s="5">
        <v>3.58746E-2</v>
      </c>
    </row>
    <row r="7" spans="1:9" x14ac:dyDescent="0.25">
      <c r="A7" t="s">
        <v>6</v>
      </c>
      <c r="B7">
        <f t="shared" si="0"/>
        <v>280</v>
      </c>
      <c r="C7">
        <v>30</v>
      </c>
      <c r="D7">
        <v>232</v>
      </c>
      <c r="E7">
        <v>18</v>
      </c>
      <c r="F7" s="2">
        <v>21</v>
      </c>
      <c r="G7" s="2">
        <v>4</v>
      </c>
      <c r="H7" s="3">
        <v>14.076952326800001</v>
      </c>
      <c r="I7" s="3"/>
    </row>
    <row r="8" spans="1:9" x14ac:dyDescent="0.25">
      <c r="A8" t="s">
        <v>7</v>
      </c>
      <c r="B8">
        <f t="shared" si="0"/>
        <v>227</v>
      </c>
      <c r="C8">
        <v>40</v>
      </c>
      <c r="D8">
        <v>77</v>
      </c>
      <c r="E8">
        <v>110</v>
      </c>
      <c r="H8" s="2"/>
    </row>
    <row r="9" spans="1:9" x14ac:dyDescent="0.25">
      <c r="H9">
        <f>SUM(H2:H8)</f>
        <v>14.873810866800001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CBM</dc:creator>
  <cp:lastModifiedBy>CBM</cp:lastModifiedBy>
  <dcterms:created xsi:type="dcterms:W3CDTF">2026-04-13T08:53:34Z</dcterms:created>
  <dcterms:modified xsi:type="dcterms:W3CDTF">2026-04-13T09:56:31Z</dcterms:modified>
</cp:coreProperties>
</file>