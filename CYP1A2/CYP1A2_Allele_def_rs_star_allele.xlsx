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1A2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Z24" i="1" l="1"/>
</calcChain>
</file>

<file path=xl/sharedStrings.xml><?xml version="1.0" encoding="utf-8"?>
<sst xmlns="http://schemas.openxmlformats.org/spreadsheetml/2006/main" count="230" uniqueCount="105">
  <si>
    <t>rsID</t>
  </si>
  <si>
    <t>rs762551</t>
  </si>
  <si>
    <t>rs60086777</t>
  </si>
  <si>
    <t>rs17861152</t>
  </si>
  <si>
    <t>rs56160784</t>
  </si>
  <si>
    <t>rs758752876</t>
  </si>
  <si>
    <t>rs72547511</t>
  </si>
  <si>
    <t>rs568839929</t>
  </si>
  <si>
    <t>rs201763966</t>
  </si>
  <si>
    <t>rs45565238</t>
  </si>
  <si>
    <t>rs150164960</t>
  </si>
  <si>
    <t>rs138652540</t>
  </si>
  <si>
    <t>rs201551575</t>
  </si>
  <si>
    <t>rs34067076</t>
  </si>
  <si>
    <t>rs45442197</t>
  </si>
  <si>
    <t>rs192799115</t>
  </si>
  <si>
    <t>rs72547512</t>
  </si>
  <si>
    <t>rs72547513</t>
  </si>
  <si>
    <t>rs369511887</t>
  </si>
  <si>
    <t>rs45540640</t>
  </si>
  <si>
    <t>rs202191520</t>
  </si>
  <si>
    <t>rs758748797</t>
  </si>
  <si>
    <t>rs773105304</t>
  </si>
  <si>
    <t>rs201537008</t>
  </si>
  <si>
    <t>rs45468096</t>
  </si>
  <si>
    <t>rs17861157</t>
  </si>
  <si>
    <t>rs35796837</t>
  </si>
  <si>
    <t>rs56276455</t>
  </si>
  <si>
    <t>rs148157092</t>
  </si>
  <si>
    <t>rs147333000</t>
  </si>
  <si>
    <t>rs72547515</t>
  </si>
  <si>
    <t>rs72547516</t>
  </si>
  <si>
    <t>rs149928755</t>
  </si>
  <si>
    <t>X3468AC</t>
  </si>
  <si>
    <t>rs55889066</t>
  </si>
  <si>
    <t>rs56107638</t>
  </si>
  <si>
    <t>rs28399424</t>
  </si>
  <si>
    <t>rs144148965</t>
  </si>
  <si>
    <t>rs45486893</t>
  </si>
  <si>
    <t>rs566851431</t>
  </si>
  <si>
    <t>rs72547517</t>
  </si>
  <si>
    <t>rs34151816</t>
  </si>
  <si>
    <t>rs199528490</t>
  </si>
  <si>
    <t>rs571663822</t>
  </si>
  <si>
    <t>rs143193369</t>
  </si>
  <si>
    <t>rs200075745</t>
  </si>
  <si>
    <t>rs374094758</t>
  </si>
  <si>
    <t>CYP1A2 Allele</t>
  </si>
  <si>
    <t>*1</t>
  </si>
  <si>
    <t>C</t>
  </si>
  <si>
    <t>G</t>
  </si>
  <si>
    <t>T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</si>
  <si>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</si>
  <si>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</si>
  <si>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</si>
  <si>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</si>
  <si>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</si>
  <si>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</si>
  <si>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</si>
  <si>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</si>
  <si>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</si>
  <si>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</si>
  <si>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</si>
  <si>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</si>
  <si>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</si>
  <si>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</si>
  <si>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</si>
  <si>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</si>
  <si>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</si>
  <si>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</si>
  <si>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</si>
  <si>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</si>
  <si>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</si>
  <si>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</si>
  <si>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</si>
  <si>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</si>
  <si>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</si>
  <si>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</si>
  <si>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</si>
  <si>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delG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</si>
  <si>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</si>
  <si>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</si>
  <si>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</si>
  <si>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</si>
  <si>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</si>
  <si>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</si>
  <si>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</si>
  <si>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</si>
  <si>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</si>
  <si>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</si>
  <si>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</si>
  <si>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</si>
  <si>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</si>
  <si>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</si>
  <si>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</si>
  <si>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</si>
  <si>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</si>
  <si>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</si>
  <si>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</si>
  <si>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</si>
  <si>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https://gnomad.broadinstitute.org/variant/15-74749576-C-A?dataset=gnomad_r4</t>
  </si>
  <si>
    <t>GenomAD</t>
  </si>
  <si>
    <t>https://gnomad.broadinstitute.org/variant/15-74751854-G-A?dataset=gnomad_r4</t>
  </si>
  <si>
    <t>https://gnomad.broadinstitute.org/variant/15-74751251-C-A?dataset=gnomad_r4</t>
  </si>
  <si>
    <t>https://gnomad.broadinstitute.org/variant/15-74751198-C-T?dataset=gnomad_r4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</si>
</sst>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9"/>
  <sheetViews>
    <sheetView tabSelected="1" topLeftCell="AH4" workbookViewId="0">
      <selection activeCell="AX37" sqref="AX37"/>
    </sheetView>
  </sheetViews>
  <sheetFormatPr baseColWidth="10" defaultColWidth="9.140625" defaultRowHeight="15" x14ac:dyDescent="0.25"/>
  <cols>
    <col min="52" max="52" width="12" bestFit="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54" x14ac:dyDescent="0.25">
      <c r="A2" t="s">
        <v>47</v>
      </c>
    </row>
    <row r="3" spans="1:54" s="2" customFormat="1" x14ac:dyDescent="0.25">
      <c r="A3" s="2" t="s">
        <v>48</v>
      </c>
      <c r="B3" s="2" t="s">
        <v>49</v>
      </c>
      <c r="C3" s="2" t="s">
        <v>49</v>
      </c>
      <c r="D3" s="2" t="s">
        <v>49</v>
      </c>
      <c r="E3" s="2" t="s">
        <v>49</v>
      </c>
      <c r="F3" s="2" t="s">
        <v>50</v>
      </c>
      <c r="G3" s="2" t="s">
        <v>49</v>
      </c>
      <c r="H3" s="2" t="s">
        <v>50</v>
      </c>
      <c r="I3" s="2" t="s">
        <v>51</v>
      </c>
      <c r="J3" s="2" t="s">
        <v>50</v>
      </c>
      <c r="K3" s="2" t="s">
        <v>50</v>
      </c>
      <c r="L3" s="2" t="s">
        <v>49</v>
      </c>
      <c r="M3" s="2" t="s">
        <v>50</v>
      </c>
      <c r="N3" s="2" t="s">
        <v>50</v>
      </c>
      <c r="O3" s="2" t="s">
        <v>49</v>
      </c>
      <c r="P3" s="2" t="s">
        <v>50</v>
      </c>
      <c r="Q3" s="2" t="s">
        <v>50</v>
      </c>
      <c r="R3" s="2" t="s">
        <v>49</v>
      </c>
      <c r="S3" s="2" t="s">
        <v>50</v>
      </c>
      <c r="T3" s="2" t="s">
        <v>51</v>
      </c>
      <c r="U3" s="2" t="s">
        <v>49</v>
      </c>
      <c r="V3" s="2" t="s">
        <v>52</v>
      </c>
      <c r="W3" s="2" t="s">
        <v>49</v>
      </c>
      <c r="X3" s="2" t="s">
        <v>50</v>
      </c>
      <c r="Y3" s="2" t="s">
        <v>49</v>
      </c>
      <c r="Z3" s="2" t="s">
        <v>49</v>
      </c>
      <c r="AA3" s="2" t="s">
        <v>50</v>
      </c>
      <c r="AB3" s="2" t="s">
        <v>50</v>
      </c>
      <c r="AC3" s="2" t="s">
        <v>49</v>
      </c>
      <c r="AD3" s="2" t="s">
        <v>49</v>
      </c>
      <c r="AE3" s="2" t="s">
        <v>50</v>
      </c>
      <c r="AF3" s="2" t="s">
        <v>52</v>
      </c>
      <c r="AG3" s="2" t="s">
        <v>49</v>
      </c>
      <c r="AH3" s="2" t="s">
        <v>52</v>
      </c>
      <c r="AI3" s="2" t="s">
        <v>50</v>
      </c>
      <c r="AJ3" s="2" t="s">
        <v>50</v>
      </c>
      <c r="AK3" s="2" t="s">
        <v>49</v>
      </c>
      <c r="AL3" s="2" t="s">
        <v>50</v>
      </c>
      <c r="AM3" s="2" t="s">
        <v>49</v>
      </c>
      <c r="AN3" s="2" t="s">
        <v>52</v>
      </c>
      <c r="AO3" s="2" t="s">
        <v>50</v>
      </c>
      <c r="AP3" s="2" t="s">
        <v>49</v>
      </c>
      <c r="AQ3" s="2" t="s">
        <v>50</v>
      </c>
      <c r="AR3" s="2" t="s">
        <v>50</v>
      </c>
      <c r="AS3" s="2" t="s">
        <v>49</v>
      </c>
      <c r="AT3" s="2" t="s">
        <v>49</v>
      </c>
      <c r="AU3" s="2" t="s">
        <v>50</v>
      </c>
    </row>
    <row r="4" spans="1:54" x14ac:dyDescent="0.25">
      <c r="A4" t="s">
        <v>53</v>
      </c>
      <c r="E4" t="s">
        <v>50</v>
      </c>
    </row>
    <row r="5" spans="1:54" s="2" customFormat="1" x14ac:dyDescent="0.25">
      <c r="A5" s="2" t="s">
        <v>54</v>
      </c>
      <c r="AB5" s="2" t="s">
        <v>52</v>
      </c>
      <c r="AV5" s="1" t="s">
        <v>27</v>
      </c>
      <c r="AX5">
        <v>1.373E-4</v>
      </c>
      <c r="BA5" s="2" t="s">
        <v>101</v>
      </c>
      <c r="BB5" s="2" t="s">
        <v>102</v>
      </c>
    </row>
    <row r="6" spans="1:54" x14ac:dyDescent="0.25">
      <c r="A6" t="s">
        <v>55</v>
      </c>
      <c r="B6" t="s">
        <v>52</v>
      </c>
      <c r="AF6" t="s">
        <v>51</v>
      </c>
    </row>
    <row r="7" spans="1:54" x14ac:dyDescent="0.25">
      <c r="A7" t="s">
        <v>56</v>
      </c>
      <c r="AI7" t="s">
        <v>52</v>
      </c>
    </row>
    <row r="8" spans="1:54" x14ac:dyDescent="0.25">
      <c r="A8" t="s">
        <v>57</v>
      </c>
      <c r="AK8" t="s">
        <v>51</v>
      </c>
    </row>
    <row r="9" spans="1:54" x14ac:dyDescent="0.25">
      <c r="A9" t="s">
        <v>58</v>
      </c>
      <c r="AJ9" t="s">
        <v>52</v>
      </c>
    </row>
    <row r="10" spans="1:54" x14ac:dyDescent="0.25">
      <c r="A10" t="s">
        <v>59</v>
      </c>
      <c r="AO10" t="s">
        <v>52</v>
      </c>
    </row>
    <row r="11" spans="1:54" x14ac:dyDescent="0.25">
      <c r="A11" t="s">
        <v>60</v>
      </c>
      <c r="B11" t="s">
        <v>52</v>
      </c>
      <c r="L11" t="s">
        <v>51</v>
      </c>
    </row>
    <row r="12" spans="1:54" x14ac:dyDescent="0.25">
      <c r="A12" t="s">
        <v>61</v>
      </c>
      <c r="B12" t="s">
        <v>52</v>
      </c>
      <c r="Q12" t="s">
        <v>49</v>
      </c>
    </row>
    <row r="13" spans="1:54" x14ac:dyDescent="0.25">
      <c r="A13" t="s">
        <v>62</v>
      </c>
      <c r="R13" t="s">
        <v>52</v>
      </c>
    </row>
    <row r="14" spans="1:54" x14ac:dyDescent="0.25">
      <c r="A14" t="s">
        <v>63</v>
      </c>
      <c r="V14" t="s">
        <v>51</v>
      </c>
    </row>
    <row r="15" spans="1:54" x14ac:dyDescent="0.25">
      <c r="A15" t="s">
        <v>64</v>
      </c>
      <c r="B15" t="s">
        <v>52</v>
      </c>
      <c r="AA15" t="s">
        <v>52</v>
      </c>
    </row>
    <row r="16" spans="1:54" x14ac:dyDescent="0.25">
      <c r="A16" t="s">
        <v>65</v>
      </c>
      <c r="B16" t="s">
        <v>52</v>
      </c>
      <c r="AM16" t="s">
        <v>51</v>
      </c>
    </row>
    <row r="17" spans="1:55" x14ac:dyDescent="0.25">
      <c r="A17" t="s">
        <v>66</v>
      </c>
      <c r="B17" t="s">
        <v>52</v>
      </c>
      <c r="G17" t="s">
        <v>50</v>
      </c>
    </row>
    <row r="18" spans="1:55" x14ac:dyDescent="0.25">
      <c r="A18" t="s">
        <v>67</v>
      </c>
      <c r="AE18" t="s">
        <v>52</v>
      </c>
    </row>
    <row r="19" spans="1:55" x14ac:dyDescent="0.25">
      <c r="A19" t="s">
        <v>68</v>
      </c>
      <c r="B19" t="s">
        <v>52</v>
      </c>
      <c r="AG19" t="s">
        <v>51</v>
      </c>
    </row>
    <row r="20" spans="1:55" x14ac:dyDescent="0.25">
      <c r="A20" t="s">
        <v>69</v>
      </c>
      <c r="AH20" t="s">
        <v>49</v>
      </c>
    </row>
    <row r="21" spans="1:55" x14ac:dyDescent="0.25">
      <c r="A21" t="s">
        <v>70</v>
      </c>
      <c r="AU21" t="s">
        <v>52</v>
      </c>
    </row>
    <row r="22" spans="1:55" x14ac:dyDescent="0.25">
      <c r="A22" t="s">
        <v>71</v>
      </c>
      <c r="AL22" t="s">
        <v>52</v>
      </c>
    </row>
    <row r="23" spans="1:55" x14ac:dyDescent="0.25">
      <c r="A23" t="s">
        <v>72</v>
      </c>
      <c r="B23" t="s">
        <v>52</v>
      </c>
      <c r="Z23" t="s">
        <v>52</v>
      </c>
      <c r="AS23" t="s">
        <v>52</v>
      </c>
    </row>
    <row r="24" spans="1:55" s="2" customFormat="1" x14ac:dyDescent="0.25">
      <c r="A24" s="2" t="s">
        <v>73</v>
      </c>
      <c r="B24" s="2" t="s">
        <v>52</v>
      </c>
      <c r="Z24" s="2" t="s">
        <v>52</v>
      </c>
      <c r="AV24" s="1" t="s">
        <v>1</v>
      </c>
      <c r="AW24" s="1" t="s">
        <v>25</v>
      </c>
      <c r="AX24">
        <v>0.7117</v>
      </c>
      <c r="AY24">
        <v>1.2290000000000001E-4</v>
      </c>
      <c r="AZ24" s="2">
        <f>AY24*AX24</f>
        <v>8.7467930000000005E-5</v>
      </c>
      <c r="BA24" s="2" t="s">
        <v>101</v>
      </c>
      <c r="BB24" s="2" t="s">
        <v>100</v>
      </c>
      <c r="BC24" s="2" t="s">
        <v>103</v>
      </c>
    </row>
    <row r="25" spans="1:55" x14ac:dyDescent="0.25">
      <c r="A25" t="s">
        <v>74</v>
      </c>
      <c r="B25" t="s">
        <v>52</v>
      </c>
      <c r="D25" t="s">
        <v>50</v>
      </c>
      <c r="Z25" t="s">
        <v>52</v>
      </c>
    </row>
    <row r="26" spans="1:55" x14ac:dyDescent="0.25">
      <c r="A26" t="s">
        <v>75</v>
      </c>
      <c r="B26" t="s">
        <v>52</v>
      </c>
      <c r="H26" t="s">
        <v>52</v>
      </c>
    </row>
    <row r="27" spans="1:55" x14ac:dyDescent="0.25">
      <c r="A27" t="s">
        <v>76</v>
      </c>
      <c r="B27" t="s">
        <v>52</v>
      </c>
      <c r="X27" t="s">
        <v>52</v>
      </c>
    </row>
    <row r="28" spans="1:55" x14ac:dyDescent="0.25">
      <c r="A28" t="s">
        <v>77</v>
      </c>
      <c r="B28" t="s">
        <v>52</v>
      </c>
      <c r="O28" t="s">
        <v>51</v>
      </c>
    </row>
    <row r="29" spans="1:55" x14ac:dyDescent="0.25">
      <c r="A29" t="s">
        <v>78</v>
      </c>
      <c r="F29" t="s">
        <v>79</v>
      </c>
    </row>
    <row r="30" spans="1:55" x14ac:dyDescent="0.25">
      <c r="A30" t="s">
        <v>80</v>
      </c>
      <c r="C30" t="s">
        <v>51</v>
      </c>
    </row>
    <row r="31" spans="1:55" x14ac:dyDescent="0.25">
      <c r="A31" t="s">
        <v>81</v>
      </c>
      <c r="B31" t="s">
        <v>52</v>
      </c>
      <c r="AR31" t="s">
        <v>52</v>
      </c>
    </row>
    <row r="32" spans="1:55" s="2" customFormat="1" x14ac:dyDescent="0.25">
      <c r="A32" s="2" t="s">
        <v>82</v>
      </c>
      <c r="B32" s="2" t="s">
        <v>52</v>
      </c>
      <c r="AV32" s="1" t="s">
        <v>1</v>
      </c>
      <c r="AX32">
        <v>0.7117</v>
      </c>
      <c r="BA32" s="2" t="s">
        <v>101</v>
      </c>
      <c r="BB32" s="2" t="s">
        <v>100</v>
      </c>
    </row>
    <row r="33" spans="1:54" x14ac:dyDescent="0.25">
      <c r="A33" t="s">
        <v>83</v>
      </c>
      <c r="B33" t="s">
        <v>52</v>
      </c>
      <c r="AD33" t="s">
        <v>51</v>
      </c>
    </row>
    <row r="34" spans="1:54" x14ac:dyDescent="0.25">
      <c r="A34" t="s">
        <v>84</v>
      </c>
      <c r="B34" t="s">
        <v>52</v>
      </c>
      <c r="P34" t="s">
        <v>52</v>
      </c>
    </row>
    <row r="35" spans="1:54" x14ac:dyDescent="0.25">
      <c r="A35" t="s">
        <v>85</v>
      </c>
      <c r="I35" t="s">
        <v>50</v>
      </c>
    </row>
    <row r="36" spans="1:54" x14ac:dyDescent="0.25">
      <c r="A36" t="s">
        <v>86</v>
      </c>
      <c r="B36" t="s">
        <v>52</v>
      </c>
      <c r="AC36" t="s">
        <v>51</v>
      </c>
    </row>
    <row r="37" spans="1:54" s="2" customFormat="1" x14ac:dyDescent="0.25">
      <c r="A37" s="2" t="s">
        <v>87</v>
      </c>
      <c r="Y37" s="2" t="s">
        <v>51</v>
      </c>
      <c r="AV37" s="1" t="s">
        <v>24</v>
      </c>
      <c r="AX37">
        <v>1.823E-3</v>
      </c>
      <c r="BA37" s="2" t="s">
        <v>101</v>
      </c>
      <c r="BB37" s="2" t="s">
        <v>104</v>
      </c>
    </row>
    <row r="38" spans="1:54" x14ac:dyDescent="0.25">
      <c r="A38" t="s">
        <v>88</v>
      </c>
      <c r="B38" t="s">
        <v>52</v>
      </c>
      <c r="J38" t="s">
        <v>52</v>
      </c>
      <c r="Z38" t="s">
        <v>52</v>
      </c>
    </row>
    <row r="39" spans="1:54" x14ac:dyDescent="0.25">
      <c r="A39" t="s">
        <v>89</v>
      </c>
      <c r="B39" t="s">
        <v>52</v>
      </c>
      <c r="N39" t="s">
        <v>52</v>
      </c>
    </row>
    <row r="40" spans="1:54" x14ac:dyDescent="0.25">
      <c r="A40" t="s">
        <v>90</v>
      </c>
      <c r="K40" t="s">
        <v>52</v>
      </c>
    </row>
    <row r="41" spans="1:54" x14ac:dyDescent="0.25">
      <c r="A41" t="s">
        <v>91</v>
      </c>
      <c r="W41" t="s">
        <v>52</v>
      </c>
    </row>
    <row r="42" spans="1:54" x14ac:dyDescent="0.25">
      <c r="A42" t="s">
        <v>92</v>
      </c>
      <c r="B42" t="s">
        <v>52</v>
      </c>
      <c r="AP42" t="s">
        <v>51</v>
      </c>
    </row>
    <row r="43" spans="1:54" x14ac:dyDescent="0.25">
      <c r="A43" t="s">
        <v>93</v>
      </c>
      <c r="B43" t="s">
        <v>52</v>
      </c>
      <c r="S43" t="s">
        <v>52</v>
      </c>
    </row>
    <row r="44" spans="1:54" x14ac:dyDescent="0.25">
      <c r="A44" t="s">
        <v>94</v>
      </c>
      <c r="B44" t="s">
        <v>52</v>
      </c>
      <c r="U44" t="s">
        <v>51</v>
      </c>
    </row>
    <row r="45" spans="1:54" x14ac:dyDescent="0.25">
      <c r="A45" t="s">
        <v>95</v>
      </c>
      <c r="B45" t="s">
        <v>52</v>
      </c>
      <c r="AN45" t="s">
        <v>51</v>
      </c>
    </row>
    <row r="46" spans="1:54" x14ac:dyDescent="0.25">
      <c r="A46" t="s">
        <v>96</v>
      </c>
      <c r="B46" t="s">
        <v>52</v>
      </c>
      <c r="AQ46" t="s">
        <v>49</v>
      </c>
    </row>
    <row r="47" spans="1:54" x14ac:dyDescent="0.25">
      <c r="A47" t="s">
        <v>97</v>
      </c>
      <c r="B47" t="s">
        <v>52</v>
      </c>
      <c r="AT47" t="s">
        <v>51</v>
      </c>
    </row>
    <row r="48" spans="1:54" x14ac:dyDescent="0.25">
      <c r="A48" t="s">
        <v>98</v>
      </c>
      <c r="M48" t="s">
        <v>52</v>
      </c>
    </row>
    <row r="49" spans="1:20" x14ac:dyDescent="0.25">
      <c r="A49" t="s">
        <v>99</v>
      </c>
      <c r="B49" t="s">
        <v>52</v>
      </c>
      <c r="T4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2026-04-15T09:10:05Z</dcterms:created>
  <dcterms:modified xsi:type="dcterms:W3CDTF">2026-04-15T12:36:48Z</dcterms:modified>
</cp:coreProperties>
</file>