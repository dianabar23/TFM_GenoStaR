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1A2\"/>
    </mc:Choice>
  </mc:AlternateContent>
  <bookViews>
    <workbookView xWindow="0" yWindow="0" windowWidth="25200" windowHeight="11160" activeTab="1"/>
  </bookViews>
  <sheets>
    <sheet name="Salida_R" sheetId="1" r:id="rId1"/>
    <sheet name="Filtrado" sheetId="2" r:id="rId2"/>
  </sheets>
  <calcPr calcId="162913"/>
</workbook>
</file>

<file path=xl/calcChain.xml><?xml version="1.0" encoding="utf-8"?>
<calcChain xmlns="http://schemas.openxmlformats.org/spreadsheetml/2006/main">
  <c r="AB28" i="2" l="1"/>
</calcChain>
</file>

<file path=xl/sharedStrings.xml><?xml version="1.0" encoding="utf-8"?>
<sst xmlns="http://schemas.openxmlformats.org/spreadsheetml/2006/main" count="298" uniqueCount="110">
  <si>
    <t>rsID</t>
  </si>
  <si>
    <t>rs60086777</t>
  </si>
  <si>
    <t>rs17861152</t>
  </si>
  <si>
    <t>rs758752876</t>
  </si>
  <si>
    <t>rs568839929</t>
  </si>
  <si>
    <t>rs201763966</t>
  </si>
  <si>
    <t>rs45565238</t>
  </si>
  <si>
    <t>rs150164960</t>
  </si>
  <si>
    <t>rs201551575</t>
  </si>
  <si>
    <t>rs34067076</t>
  </si>
  <si>
    <t>rs45442197</t>
  </si>
  <si>
    <t>rs192799115</t>
  </si>
  <si>
    <t>rs72547512</t>
  </si>
  <si>
    <t>rs369511887</t>
  </si>
  <si>
    <t>rs45540640</t>
  </si>
  <si>
    <t>rs202191520</t>
  </si>
  <si>
    <t>rs773105304</t>
  </si>
  <si>
    <t>rs201537008</t>
  </si>
  <si>
    <t>rs147333000</t>
  </si>
  <si>
    <t>X3468AC</t>
  </si>
  <si>
    <t>rs566851431</t>
  </si>
  <si>
    <t>rs34151816</t>
  </si>
  <si>
    <t>rs199528490</t>
  </si>
  <si>
    <t>rs571663822</t>
  </si>
  <si>
    <t>rs200075745</t>
  </si>
  <si>
    <t>CYP1A2 Allele</t>
  </si>
  <si>
    <t>*1</t>
  </si>
  <si>
    <t>C</t>
  </si>
  <si>
    <t>G</t>
  </si>
  <si>
    <t>T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</si>
  <si>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</si>
  <si>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</si>
  <si>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</si>
  <si>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</si>
  <si>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</si>
  <si>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</si>
  <si>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</si>
  <si>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</si>
  <si>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</si>
  <si>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</si>
  <si>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</si>
  <si>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</si>
  <si>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</si>
  <si>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</si>
  <si>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</si>
  <si>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</si>
  <si>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</si>
  <si>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</si>
  <si>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</si>
  <si>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</si>
  <si>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</si>
  <si>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</si>
  <si>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</si>
  <si>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</si>
  <si>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</si>
  <si>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</si>
  <si>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</si>
  <si>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delG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</si>
  <si>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</si>
  <si>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</si>
  <si>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</si>
  <si>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</si>
  <si>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</si>
  <si>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</si>
  <si>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</si>
  <si>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</si>
  <si>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</si>
  <si>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</si>
  <si>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</si>
  <si>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</si>
  <si>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</si>
  <si>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</si>
  <si>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</si>
  <si>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</si>
  <si>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</si>
  <si>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</si>
  <si>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</si>
  <si>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</si>
  <si>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https://gnomad.broadinstitute.org/variant/15-74750240-G-C?dataset=gnomad_r4</t>
  </si>
  <si>
    <t>https://gnomad.broadinstitute.org/variant/15-74749791-C-G?dataset=gnomad_r4</t>
  </si>
  <si>
    <t>https://gnomad.broadinstitute.org/variant/15-74749875-G-A?dataset=gnomad_r4</t>
  </si>
  <si>
    <t>https://gnomad.broadinstitute.org/variant/15-74750435-G-A?dataset=gnomad_r4</t>
  </si>
  <si>
    <t>https://gnomad.broadinstitute.org/variant/15-74750069-C-T?dataset=gnomad_r4</t>
  </si>
  <si>
    <t>https://gnomad.broadinstitute.org/variant/15-74749838-CG-C?dataset=gnomad_r4</t>
  </si>
  <si>
    <t>Link</t>
  </si>
  <si>
    <t>https://gnomad.broadinstitute.org/variant/15-74749781-C-T?dataset=gnomad_r4</t>
  </si>
  <si>
    <t>https://gnomad.broadinstitute.org/variant/15-74754996-G-A?dataset=gnomad_r4</t>
  </si>
  <si>
    <t>https://gnomad.broadinstitute.org/variant/15-74752147-C-T?dataset=gnomad_r4</t>
  </si>
  <si>
    <t>https://gnomad.broadinstitute.org/variant/15-74750186-G-A?dataset=gnomad_r4</t>
  </si>
  <si>
    <t>https://gnomad.broadinstitute.org/variant/15-74749880-T-G?dataset=gnomad_r4</t>
  </si>
  <si>
    <t>https://gnomad.broadinstitute.org/variant/15-74749955-G-A?dataset=gnomad_r4</t>
  </si>
  <si>
    <t>https://gnomad.broadinstitute.org/variant/15-74750048-G-A?dataset=gnomad_r4</t>
  </si>
  <si>
    <t>https://gnomad.broadinstitute.org/variant/15-74749961-G-A?dataset=gnomad_r4</t>
  </si>
  <si>
    <t>https://gnomad.broadinstitute.org/variant/15-74750408-C-A?dataset=gnomad_r4</t>
  </si>
  <si>
    <t>https://gnomad.broadinstitute.org/variant/15-74754906-C-T?dataset=gnomad_r4</t>
  </si>
  <si>
    <t>https://gnomad.broadinstitute.org/variant/15-74750297-G-A?dataset=gnomad_r4</t>
  </si>
  <si>
    <t>https://gnomad.broadinstitute.org/variant/15-74750367-C-T?dataset=gnomad_r4</t>
  </si>
  <si>
    <t>https://gnomad.broadinstitute.org/variant/15-74754877-A-T?dataset=gnomad_r4</t>
  </si>
  <si>
    <t>https://gnomad.broadinstitute.org/variant/15-74754921-G-C?dataset=gnomad_r4</t>
  </si>
  <si>
    <t>https://gnomad.broadinstitute.org/variant/15-74755059-C-T?dataset=gnomad_r4</t>
  </si>
  <si>
    <t>https://gnomad.broadinstitute.org/variant/15-74750007-G-A?dataset=gnomad_r4</t>
  </si>
  <si>
    <t>https://gnomad.broadinstitute.org/variant/15-74750351-T-G?dataset=gnomad_r4</t>
  </si>
  <si>
    <t>MAF European (non-finnish)</t>
  </si>
  <si>
    <t>Error</t>
  </si>
  <si>
    <t xml:space="preserve">GenomAD </t>
  </si>
  <si>
    <t>Base de datos</t>
  </si>
  <si>
    <t>rs/*alelo</t>
  </si>
  <si>
    <t>Corresponde a rs2505559894 (CYP1A2_Haplotypes-PS216394-1454147960)</t>
  </si>
  <si>
    <t xml:space="preserve">dbSNP </t>
  </si>
  <si>
    <t>https://www.ncbi.nlm.nih.gov/snp/rs2505559894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</si>
</sst>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5-74749838-CG-C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workbookViewId="0">
      <selection activeCell="D20" sqref="D20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</row>
    <row r="9" spans="1:25" x14ac:dyDescent="0.25">
      <c r="A9" t="s">
        <v>36</v>
      </c>
    </row>
    <row r="10" spans="1:25" x14ac:dyDescent="0.25">
      <c r="A10" t="s">
        <v>37</v>
      </c>
    </row>
    <row r="11" spans="1:25" x14ac:dyDescent="0.25">
      <c r="A11" t="s">
        <v>38</v>
      </c>
    </row>
    <row r="12" spans="1:25" x14ac:dyDescent="0.25">
      <c r="A12" t="s">
        <v>39</v>
      </c>
      <c r="M12" t="s">
        <v>27</v>
      </c>
    </row>
    <row r="13" spans="1:25" x14ac:dyDescent="0.25">
      <c r="A13" t="s">
        <v>40</v>
      </c>
    </row>
    <row r="14" spans="1:25" x14ac:dyDescent="0.25">
      <c r="A14" t="s">
        <v>41</v>
      </c>
    </row>
    <row r="15" spans="1:25" x14ac:dyDescent="0.25">
      <c r="A15" t="s">
        <v>42</v>
      </c>
    </row>
    <row r="16" spans="1:25" x14ac:dyDescent="0.25">
      <c r="A16" t="s">
        <v>43</v>
      </c>
    </row>
    <row r="17" spans="1:24" x14ac:dyDescent="0.25">
      <c r="A17" t="s">
        <v>44</v>
      </c>
    </row>
    <row r="18" spans="1:24" x14ac:dyDescent="0.25">
      <c r="A18" t="s">
        <v>45</v>
      </c>
    </row>
    <row r="19" spans="1:24" x14ac:dyDescent="0.25">
      <c r="A19" t="s">
        <v>46</v>
      </c>
    </row>
    <row r="20" spans="1:24" x14ac:dyDescent="0.25">
      <c r="A20" t="s">
        <v>47</v>
      </c>
      <c r="T20" t="s">
        <v>27</v>
      </c>
    </row>
    <row r="21" spans="1:24" x14ac:dyDescent="0.25">
      <c r="A21" t="s">
        <v>48</v>
      </c>
    </row>
    <row r="22" spans="1:24" x14ac:dyDescent="0.25">
      <c r="A22" t="s">
        <v>49</v>
      </c>
    </row>
    <row r="23" spans="1:24" x14ac:dyDescent="0.25">
      <c r="A23" t="s">
        <v>50</v>
      </c>
    </row>
    <row r="24" spans="1:24" x14ac:dyDescent="0.25">
      <c r="A24" t="s">
        <v>51</v>
      </c>
    </row>
    <row r="25" spans="1:24" x14ac:dyDescent="0.25">
      <c r="A25" t="s">
        <v>52</v>
      </c>
      <c r="C25" t="s">
        <v>28</v>
      </c>
    </row>
    <row r="26" spans="1:24" x14ac:dyDescent="0.25">
      <c r="A26" t="s">
        <v>53</v>
      </c>
      <c r="E26" t="s">
        <v>30</v>
      </c>
    </row>
    <row r="27" spans="1:24" x14ac:dyDescent="0.25">
      <c r="A27" t="s">
        <v>54</v>
      </c>
      <c r="R27" t="s">
        <v>30</v>
      </c>
    </row>
    <row r="28" spans="1:24" x14ac:dyDescent="0.25">
      <c r="A28" t="s">
        <v>55</v>
      </c>
      <c r="K28" t="s">
        <v>29</v>
      </c>
    </row>
    <row r="29" spans="1:24" x14ac:dyDescent="0.25">
      <c r="A29" t="s">
        <v>56</v>
      </c>
      <c r="D29" t="s">
        <v>57</v>
      </c>
    </row>
    <row r="30" spans="1:24" x14ac:dyDescent="0.25">
      <c r="A30" t="s">
        <v>58</v>
      </c>
      <c r="B30" t="s">
        <v>29</v>
      </c>
    </row>
    <row r="31" spans="1:24" x14ac:dyDescent="0.25">
      <c r="A31" t="s">
        <v>59</v>
      </c>
      <c r="X31" t="s">
        <v>30</v>
      </c>
    </row>
    <row r="32" spans="1:24" x14ac:dyDescent="0.25">
      <c r="A32" t="s">
        <v>60</v>
      </c>
    </row>
    <row r="33" spans="1:25" x14ac:dyDescent="0.25">
      <c r="A33" t="s">
        <v>61</v>
      </c>
      <c r="S33" t="s">
        <v>29</v>
      </c>
    </row>
    <row r="34" spans="1:25" x14ac:dyDescent="0.25">
      <c r="A34" t="s">
        <v>62</v>
      </c>
      <c r="L34" t="s">
        <v>30</v>
      </c>
    </row>
    <row r="35" spans="1:25" x14ac:dyDescent="0.25">
      <c r="A35" t="s">
        <v>63</v>
      </c>
      <c r="F35" t="s">
        <v>28</v>
      </c>
    </row>
    <row r="36" spans="1:25" x14ac:dyDescent="0.25">
      <c r="A36" t="s">
        <v>64</v>
      </c>
    </row>
    <row r="37" spans="1:25" x14ac:dyDescent="0.25">
      <c r="A37" t="s">
        <v>65</v>
      </c>
    </row>
    <row r="38" spans="1:25" x14ac:dyDescent="0.25">
      <c r="A38" t="s">
        <v>66</v>
      </c>
      <c r="G38" t="s">
        <v>30</v>
      </c>
    </row>
    <row r="39" spans="1:25" x14ac:dyDescent="0.25">
      <c r="A39" t="s">
        <v>67</v>
      </c>
      <c r="J39" t="s">
        <v>30</v>
      </c>
    </row>
    <row r="40" spans="1:25" x14ac:dyDescent="0.25">
      <c r="A40" t="s">
        <v>68</v>
      </c>
      <c r="H40" t="s">
        <v>30</v>
      </c>
    </row>
    <row r="41" spans="1:25" x14ac:dyDescent="0.25">
      <c r="A41" t="s">
        <v>69</v>
      </c>
      <c r="Q41" t="s">
        <v>30</v>
      </c>
    </row>
    <row r="42" spans="1:25" x14ac:dyDescent="0.25">
      <c r="A42" t="s">
        <v>70</v>
      </c>
      <c r="V42" t="s">
        <v>29</v>
      </c>
    </row>
    <row r="43" spans="1:25" x14ac:dyDescent="0.25">
      <c r="A43" t="s">
        <v>71</v>
      </c>
      <c r="N43" t="s">
        <v>30</v>
      </c>
    </row>
    <row r="44" spans="1:25" x14ac:dyDescent="0.25">
      <c r="A44" t="s">
        <v>72</v>
      </c>
      <c r="P44" t="s">
        <v>29</v>
      </c>
    </row>
    <row r="45" spans="1:25" x14ac:dyDescent="0.25">
      <c r="A45" t="s">
        <v>73</v>
      </c>
      <c r="U45" t="s">
        <v>29</v>
      </c>
    </row>
    <row r="46" spans="1:25" x14ac:dyDescent="0.25">
      <c r="A46" t="s">
        <v>74</v>
      </c>
      <c r="W46" t="s">
        <v>27</v>
      </c>
    </row>
    <row r="47" spans="1:25" x14ac:dyDescent="0.25">
      <c r="A47" t="s">
        <v>75</v>
      </c>
      <c r="Y47" t="s">
        <v>29</v>
      </c>
    </row>
    <row r="48" spans="1:25" x14ac:dyDescent="0.25">
      <c r="A48" t="s">
        <v>76</v>
      </c>
      <c r="I48" t="s">
        <v>30</v>
      </c>
    </row>
    <row r="49" spans="1:15" x14ac:dyDescent="0.25">
      <c r="A49" t="s">
        <v>77</v>
      </c>
      <c r="O4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F1" workbookViewId="0">
      <selection activeCell="AA5" sqref="AA5"/>
    </sheetView>
  </sheetViews>
  <sheetFormatPr baseColWidth="10" defaultColWidth="9.140625" defaultRowHeight="15" x14ac:dyDescent="0.25"/>
  <cols>
    <col min="29" max="29" width="11.140625" customWidth="1"/>
  </cols>
  <sheetData>
    <row r="1" spans="1:30" s="1" customForma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106</v>
      </c>
      <c r="AB1" s="1" t="s">
        <v>102</v>
      </c>
      <c r="AC1" s="1" t="s">
        <v>105</v>
      </c>
      <c r="AD1" s="1" t="s">
        <v>84</v>
      </c>
    </row>
    <row r="2" spans="1:30" x14ac:dyDescent="0.25">
      <c r="A2" t="s">
        <v>25</v>
      </c>
    </row>
    <row r="3" spans="1:30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30" x14ac:dyDescent="0.25">
      <c r="A4" t="s">
        <v>39</v>
      </c>
      <c r="M4" t="s">
        <v>27</v>
      </c>
      <c r="Z4" t="s">
        <v>12</v>
      </c>
      <c r="AB4">
        <v>0</v>
      </c>
      <c r="AC4" t="s">
        <v>104</v>
      </c>
      <c r="AD4" t="s">
        <v>78</v>
      </c>
    </row>
    <row r="5" spans="1:30" x14ac:dyDescent="0.25">
      <c r="A5" t="s">
        <v>47</v>
      </c>
      <c r="T5" t="s">
        <v>27</v>
      </c>
      <c r="Z5" s="4" t="s">
        <v>19</v>
      </c>
      <c r="AA5" s="5" t="s">
        <v>107</v>
      </c>
      <c r="AB5" s="5">
        <v>0</v>
      </c>
      <c r="AC5" t="s">
        <v>108</v>
      </c>
      <c r="AD5" t="s">
        <v>109</v>
      </c>
    </row>
    <row r="6" spans="1:30" x14ac:dyDescent="0.25">
      <c r="A6" t="s">
        <v>52</v>
      </c>
      <c r="C6" t="s">
        <v>28</v>
      </c>
      <c r="Z6" t="s">
        <v>2</v>
      </c>
      <c r="AB6">
        <v>8.2949999999999997E-5</v>
      </c>
      <c r="AC6" t="s">
        <v>104</v>
      </c>
      <c r="AD6" t="s">
        <v>79</v>
      </c>
    </row>
    <row r="7" spans="1:30" x14ac:dyDescent="0.25">
      <c r="A7" t="s">
        <v>53</v>
      </c>
      <c r="E7" t="s">
        <v>30</v>
      </c>
      <c r="Z7" t="s">
        <v>4</v>
      </c>
      <c r="AB7">
        <v>0</v>
      </c>
      <c r="AC7" t="s">
        <v>104</v>
      </c>
      <c r="AD7" t="s">
        <v>80</v>
      </c>
    </row>
    <row r="8" spans="1:30" x14ac:dyDescent="0.25">
      <c r="A8" t="s">
        <v>54</v>
      </c>
      <c r="R8" t="s">
        <v>30</v>
      </c>
      <c r="Z8" t="s">
        <v>17</v>
      </c>
      <c r="AB8">
        <v>1.3560000000000001E-5</v>
      </c>
      <c r="AC8" t="s">
        <v>104</v>
      </c>
      <c r="AD8" t="s">
        <v>81</v>
      </c>
    </row>
    <row r="9" spans="1:30" x14ac:dyDescent="0.25">
      <c r="A9" t="s">
        <v>55</v>
      </c>
      <c r="K9" t="s">
        <v>29</v>
      </c>
      <c r="Z9" t="s">
        <v>10</v>
      </c>
      <c r="AB9">
        <v>1.6950000000000001E-6</v>
      </c>
      <c r="AC9" t="s">
        <v>104</v>
      </c>
      <c r="AD9" t="s">
        <v>82</v>
      </c>
    </row>
    <row r="10" spans="1:30" x14ac:dyDescent="0.25">
      <c r="A10" t="s">
        <v>56</v>
      </c>
      <c r="D10" t="s">
        <v>57</v>
      </c>
      <c r="Z10" t="s">
        <v>3</v>
      </c>
      <c r="AB10">
        <v>0</v>
      </c>
      <c r="AC10" t="s">
        <v>104</v>
      </c>
      <c r="AD10" s="2" t="s">
        <v>83</v>
      </c>
    </row>
    <row r="11" spans="1:30" x14ac:dyDescent="0.25">
      <c r="A11" t="s">
        <v>58</v>
      </c>
      <c r="B11" t="s">
        <v>29</v>
      </c>
      <c r="Z11" t="s">
        <v>1</v>
      </c>
      <c r="AB11">
        <v>4.5970000000000002E-5</v>
      </c>
      <c r="AC11" t="s">
        <v>104</v>
      </c>
      <c r="AD11" t="s">
        <v>85</v>
      </c>
    </row>
    <row r="12" spans="1:30" x14ac:dyDescent="0.25">
      <c r="A12" t="s">
        <v>59</v>
      </c>
      <c r="X12" t="s">
        <v>30</v>
      </c>
      <c r="Z12" t="s">
        <v>23</v>
      </c>
      <c r="AB12">
        <v>1.9490000000000001E-5</v>
      </c>
      <c r="AC12" t="s">
        <v>104</v>
      </c>
      <c r="AD12" t="s">
        <v>86</v>
      </c>
    </row>
    <row r="13" spans="1:30" x14ac:dyDescent="0.25">
      <c r="A13" t="s">
        <v>61</v>
      </c>
      <c r="S13" t="s">
        <v>29</v>
      </c>
      <c r="Z13" t="s">
        <v>18</v>
      </c>
      <c r="AB13">
        <v>1.102E-5</v>
      </c>
      <c r="AC13" t="s">
        <v>104</v>
      </c>
      <c r="AD13" t="s">
        <v>87</v>
      </c>
    </row>
    <row r="14" spans="1:30" x14ac:dyDescent="0.25">
      <c r="A14" t="s">
        <v>62</v>
      </c>
      <c r="L14" t="s">
        <v>30</v>
      </c>
      <c r="Z14" t="s">
        <v>11</v>
      </c>
      <c r="AB14">
        <v>9.3219999999999999E-6</v>
      </c>
      <c r="AC14" t="s">
        <v>104</v>
      </c>
      <c r="AD14" t="s">
        <v>88</v>
      </c>
    </row>
    <row r="15" spans="1:30" x14ac:dyDescent="0.25">
      <c r="A15" t="s">
        <v>63</v>
      </c>
      <c r="F15" t="s">
        <v>28</v>
      </c>
      <c r="Z15" t="s">
        <v>5</v>
      </c>
      <c r="AB15">
        <v>2.7209999999999999E-5</v>
      </c>
      <c r="AC15" t="s">
        <v>104</v>
      </c>
      <c r="AD15" t="s">
        <v>89</v>
      </c>
    </row>
    <row r="16" spans="1:30" x14ac:dyDescent="0.25">
      <c r="A16" t="s">
        <v>66</v>
      </c>
      <c r="G16" t="s">
        <v>30</v>
      </c>
      <c r="Z16" t="s">
        <v>6</v>
      </c>
      <c r="AB16">
        <v>4.6529999999999998E-4</v>
      </c>
      <c r="AC16" t="s">
        <v>104</v>
      </c>
      <c r="AD16" t="s">
        <v>90</v>
      </c>
    </row>
    <row r="17" spans="1:30" x14ac:dyDescent="0.25">
      <c r="A17" t="s">
        <v>67</v>
      </c>
      <c r="J17" t="s">
        <v>30</v>
      </c>
      <c r="Z17" t="s">
        <v>9</v>
      </c>
      <c r="AB17">
        <v>8.1950000000000002E-4</v>
      </c>
      <c r="AC17" t="s">
        <v>104</v>
      </c>
      <c r="AD17" t="s">
        <v>91</v>
      </c>
    </row>
    <row r="18" spans="1:30" x14ac:dyDescent="0.25">
      <c r="A18" t="s">
        <v>68</v>
      </c>
      <c r="H18" t="s">
        <v>30</v>
      </c>
      <c r="Z18" t="s">
        <v>7</v>
      </c>
      <c r="AB18">
        <v>3.7289999999999997E-5</v>
      </c>
      <c r="AC18" t="s">
        <v>104</v>
      </c>
      <c r="AD18" t="s">
        <v>92</v>
      </c>
    </row>
    <row r="19" spans="1:30" x14ac:dyDescent="0.25">
      <c r="A19" t="s">
        <v>69</v>
      </c>
      <c r="Q19" t="s">
        <v>30</v>
      </c>
      <c r="Z19" t="s">
        <v>16</v>
      </c>
      <c r="AB19">
        <v>0</v>
      </c>
      <c r="AC19" t="s">
        <v>104</v>
      </c>
      <c r="AD19" t="s">
        <v>93</v>
      </c>
    </row>
    <row r="20" spans="1:30" x14ac:dyDescent="0.25">
      <c r="A20" t="s">
        <v>70</v>
      </c>
      <c r="V20" t="s">
        <v>29</v>
      </c>
      <c r="Z20" t="s">
        <v>21</v>
      </c>
      <c r="AB20">
        <v>4.2370000000000003E-6</v>
      </c>
      <c r="AC20" t="s">
        <v>104</v>
      </c>
      <c r="AD20" t="s">
        <v>94</v>
      </c>
    </row>
    <row r="21" spans="1:30" x14ac:dyDescent="0.25">
      <c r="A21" t="s">
        <v>71</v>
      </c>
      <c r="N21" t="s">
        <v>30</v>
      </c>
      <c r="Z21" t="s">
        <v>13</v>
      </c>
      <c r="AB21">
        <v>2.9920000000000001E-4</v>
      </c>
      <c r="AC21" t="s">
        <v>104</v>
      </c>
      <c r="AD21" t="s">
        <v>95</v>
      </c>
    </row>
    <row r="22" spans="1:30" x14ac:dyDescent="0.25">
      <c r="A22" t="s">
        <v>72</v>
      </c>
      <c r="P22" t="s">
        <v>29</v>
      </c>
      <c r="Z22" t="s">
        <v>15</v>
      </c>
      <c r="AB22">
        <v>0</v>
      </c>
      <c r="AC22" t="s">
        <v>104</v>
      </c>
      <c r="AD22" t="s">
        <v>96</v>
      </c>
    </row>
    <row r="23" spans="1:30" x14ac:dyDescent="0.25">
      <c r="A23" t="s">
        <v>73</v>
      </c>
      <c r="U23" t="s">
        <v>29</v>
      </c>
      <c r="Z23" t="s">
        <v>20</v>
      </c>
      <c r="AB23">
        <v>0</v>
      </c>
      <c r="AC23" t="s">
        <v>104</v>
      </c>
      <c r="AD23" t="s">
        <v>97</v>
      </c>
    </row>
    <row r="24" spans="1:30" x14ac:dyDescent="0.25">
      <c r="A24" t="s">
        <v>74</v>
      </c>
      <c r="W24" t="s">
        <v>27</v>
      </c>
      <c r="Z24" t="s">
        <v>22</v>
      </c>
      <c r="AB24">
        <v>0</v>
      </c>
      <c r="AC24" t="s">
        <v>104</v>
      </c>
      <c r="AD24" t="s">
        <v>98</v>
      </c>
    </row>
    <row r="25" spans="1:30" x14ac:dyDescent="0.25">
      <c r="A25" t="s">
        <v>75</v>
      </c>
      <c r="Y25" t="s">
        <v>29</v>
      </c>
      <c r="Z25" t="s">
        <v>24</v>
      </c>
      <c r="AB25">
        <v>1.697E-6</v>
      </c>
      <c r="AC25" t="s">
        <v>104</v>
      </c>
      <c r="AD25" t="s">
        <v>99</v>
      </c>
    </row>
    <row r="26" spans="1:30" x14ac:dyDescent="0.25">
      <c r="A26" t="s">
        <v>76</v>
      </c>
      <c r="I26" t="s">
        <v>30</v>
      </c>
      <c r="Z26" t="s">
        <v>8</v>
      </c>
      <c r="AB26">
        <v>2.2030000000000001E-5</v>
      </c>
      <c r="AC26" t="s">
        <v>104</v>
      </c>
      <c r="AD26" t="s">
        <v>100</v>
      </c>
    </row>
    <row r="27" spans="1:30" x14ac:dyDescent="0.25">
      <c r="A27" t="s">
        <v>77</v>
      </c>
      <c r="O27" t="s">
        <v>28</v>
      </c>
      <c r="Z27" t="s">
        <v>14</v>
      </c>
      <c r="AB27">
        <v>1.6950000000000001E-6</v>
      </c>
      <c r="AC27" t="s">
        <v>104</v>
      </c>
      <c r="AD27" t="s">
        <v>101</v>
      </c>
    </row>
    <row r="28" spans="1:30" x14ac:dyDescent="0.25">
      <c r="Z28" t="s">
        <v>103</v>
      </c>
      <c r="AB28">
        <f>SUM(AB4:AB27)*100</f>
        <v>0.18621659999999998</v>
      </c>
    </row>
  </sheetData>
  <hyperlinks>
    <hyperlink ref="AD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2026-03-24T12:40:04Z</dcterms:created>
  <dcterms:modified xsi:type="dcterms:W3CDTF">2026-04-16T09:23:27Z</dcterms:modified>
</cp:coreProperties>
</file>