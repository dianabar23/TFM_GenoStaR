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Genostar\CYPs\CYP2D6\"/>
    </mc:Choice>
  </mc:AlternateContent>
  <bookViews>
    <workbookView xWindow="0" yWindow="0" windowWidth="19110" windowHeight="8130" activeTab="3"/>
  </bookViews>
  <sheets>
    <sheet name="Salida_R" sheetId="1" r:id="rId1"/>
    <sheet name="Filtrada" sheetId="2" r:id="rId2"/>
    <sheet name="SNP-alelo" sheetId="5" r:id="rId3"/>
    <sheet name="Hoja1" sheetId="6" r:id="rId4"/>
  </sheets>
  <calcPr calcId="162913"/>
</workbook>
</file>

<file path=xl/calcChain.xml><?xml version="1.0" encoding="utf-8"?>
<calcChain xmlns="http://schemas.openxmlformats.org/spreadsheetml/2006/main">
  <c r="DK2" i="6" l="1"/>
  <c r="DJ2" i="6"/>
  <c r="DI2" i="6"/>
  <c r="DH2" i="6"/>
  <c r="DR151" i="6"/>
  <c r="DR149" i="6"/>
  <c r="DR148" i="6"/>
  <c r="DR146" i="6"/>
  <c r="DR145" i="6"/>
  <c r="DR142" i="6"/>
  <c r="DR141" i="6"/>
  <c r="DR140" i="6"/>
  <c r="DR139" i="6"/>
  <c r="DR138" i="6"/>
  <c r="DR137" i="6"/>
  <c r="DR136" i="6"/>
  <c r="DR135" i="6"/>
  <c r="DR133" i="6"/>
  <c r="DR132" i="6"/>
  <c r="DR131" i="6"/>
  <c r="DR130" i="6"/>
  <c r="DR128" i="6"/>
  <c r="DR127" i="6"/>
  <c r="DR125" i="6"/>
  <c r="DR124" i="6"/>
  <c r="DR123" i="6"/>
  <c r="DR120" i="6"/>
  <c r="DR119" i="6"/>
  <c r="DR118" i="6"/>
  <c r="DR116" i="6"/>
  <c r="DR115" i="6"/>
  <c r="DR114" i="6"/>
  <c r="DR113" i="6"/>
  <c r="DR112" i="6"/>
  <c r="DR111" i="6"/>
  <c r="DR110" i="6"/>
  <c r="DR109" i="6"/>
  <c r="DR108" i="6"/>
  <c r="DR107" i="6"/>
  <c r="DR106" i="6"/>
  <c r="DR105" i="6"/>
  <c r="DR104" i="6"/>
  <c r="DR103" i="6"/>
  <c r="DR102" i="6"/>
  <c r="DR99" i="6"/>
  <c r="DR98" i="6"/>
  <c r="DR97" i="6"/>
  <c r="DR96" i="6"/>
  <c r="DR95" i="6"/>
  <c r="DR94" i="6"/>
  <c r="DR93" i="6"/>
  <c r="DR92" i="6"/>
  <c r="DR91" i="6"/>
  <c r="DR90" i="6"/>
  <c r="DR89" i="6"/>
  <c r="DR88" i="6"/>
  <c r="DR87" i="6"/>
  <c r="DR84" i="6"/>
  <c r="DR83" i="6"/>
  <c r="DR82" i="6"/>
  <c r="DR79" i="6"/>
  <c r="DR78" i="6"/>
  <c r="DR77" i="6"/>
  <c r="DR75" i="6"/>
  <c r="DR74" i="6"/>
  <c r="DR73" i="6"/>
  <c r="DR72" i="6"/>
  <c r="DR71" i="6"/>
  <c r="DR70" i="6"/>
  <c r="DR69" i="6"/>
  <c r="DR67" i="6"/>
  <c r="DR65" i="6"/>
  <c r="DR64" i="6"/>
  <c r="DR63" i="6"/>
  <c r="DR61" i="6"/>
  <c r="DR54" i="6"/>
  <c r="DR50" i="6"/>
  <c r="DR48" i="6"/>
  <c r="DR46" i="6"/>
  <c r="DR45" i="6"/>
  <c r="DR43" i="6"/>
  <c r="DR42" i="6"/>
  <c r="DR38" i="6"/>
  <c r="DR36" i="6"/>
  <c r="DR34" i="6"/>
  <c r="DR30" i="6"/>
  <c r="DR28" i="6"/>
  <c r="DR25" i="6"/>
  <c r="DR24" i="6"/>
  <c r="DR23" i="6"/>
  <c r="DR22" i="6"/>
  <c r="DR21" i="6"/>
  <c r="DR19" i="6"/>
  <c r="DR17" i="6"/>
  <c r="DR16" i="6"/>
  <c r="DR11" i="6"/>
  <c r="DR10" i="6"/>
  <c r="DR9" i="6"/>
  <c r="DR6" i="6"/>
  <c r="DR62" i="2"/>
  <c r="DR139" i="2"/>
  <c r="DR152" i="6" l="1"/>
  <c r="DR105" i="2"/>
  <c r="DR150" i="2" l="1"/>
  <c r="DR148" i="2"/>
  <c r="DR147" i="2"/>
  <c r="DR145" i="2"/>
  <c r="DR144" i="2"/>
  <c r="DR141" i="2"/>
  <c r="DR140" i="2"/>
  <c r="DR138" i="2"/>
  <c r="DR137" i="2"/>
  <c r="DR136" i="2"/>
  <c r="DR135" i="2"/>
  <c r="DR134" i="2"/>
  <c r="DR132" i="2"/>
  <c r="DR131" i="2"/>
  <c r="DR130" i="2"/>
  <c r="DR129" i="2"/>
  <c r="DR127" i="2"/>
  <c r="DR126" i="2"/>
  <c r="DR124" i="2"/>
  <c r="DR123" i="2"/>
  <c r="DR122" i="2"/>
  <c r="DR119" i="2"/>
  <c r="DR118" i="2"/>
  <c r="DR117" i="2"/>
  <c r="DR115" i="2"/>
  <c r="DR114" i="2"/>
  <c r="DR113" i="2"/>
  <c r="DR112" i="2"/>
  <c r="DR111" i="2"/>
  <c r="DR110" i="2"/>
  <c r="DR109" i="2"/>
  <c r="DR108" i="2"/>
  <c r="DR107" i="2"/>
  <c r="DR106" i="2"/>
  <c r="DR104" i="2"/>
  <c r="DR103" i="2"/>
  <c r="DR102" i="2"/>
  <c r="DR101" i="2"/>
  <c r="DR98" i="2"/>
  <c r="DR97" i="2"/>
  <c r="DR96" i="2"/>
  <c r="DR95" i="2"/>
  <c r="DR94" i="2"/>
  <c r="DR93" i="2"/>
  <c r="DR92" i="2"/>
  <c r="DR91" i="2"/>
  <c r="DR90" i="2"/>
  <c r="DR89" i="2"/>
  <c r="DR88" i="2"/>
  <c r="DR87" i="2"/>
  <c r="DR86" i="2"/>
  <c r="DR83" i="2"/>
  <c r="DR82" i="2"/>
  <c r="DR81" i="2"/>
  <c r="DR78" i="2"/>
  <c r="DR77" i="2"/>
  <c r="DR76" i="2"/>
  <c r="DR74" i="2"/>
  <c r="DR73" i="2"/>
  <c r="DR72" i="2"/>
  <c r="DR71" i="2"/>
  <c r="DR70" i="2"/>
  <c r="DR69" i="2"/>
  <c r="DR68" i="2"/>
  <c r="DR66" i="2"/>
  <c r="DR64" i="2"/>
  <c r="DR63" i="2"/>
  <c r="DR60" i="2"/>
  <c r="DR53" i="2" l="1"/>
  <c r="DR49" i="2"/>
  <c r="DR47" i="2"/>
  <c r="DR45" i="2"/>
  <c r="DR44" i="2"/>
  <c r="DR42" i="2"/>
  <c r="DR41" i="2"/>
  <c r="DR37" i="2"/>
  <c r="DR35" i="2"/>
  <c r="DR33" i="2"/>
  <c r="DR29" i="2"/>
  <c r="DR27" i="2"/>
  <c r="DR24" i="2"/>
  <c r="DR23" i="2"/>
  <c r="DR22" i="2"/>
  <c r="DR21" i="2"/>
  <c r="DR20" i="2"/>
  <c r="DR18" i="2"/>
  <c r="DR16" i="2"/>
  <c r="DR15" i="2"/>
  <c r="DR10" i="2"/>
  <c r="DR9" i="2"/>
  <c r="DR8" i="2"/>
  <c r="DR5" i="2"/>
  <c r="DR151" i="2" l="1"/>
</calcChain>
</file>

<file path=xl/sharedStrings.xml><?xml version="1.0" encoding="utf-8"?>
<sst xmlns="http://schemas.openxmlformats.org/spreadsheetml/2006/main" count="2371" uniqueCount="330">
  <si>
    <t>rsID</t>
  </si>
  <si>
    <t>rs773790593</t>
  </si>
  <si>
    <t>X</t>
  </si>
  <si>
    <t>rs373243894</t>
  </si>
  <si>
    <t>rs774671100</t>
  </si>
  <si>
    <t>rs536109057</t>
  </si>
  <si>
    <t>rs1456026511</t>
  </si>
  <si>
    <t>rs267608276</t>
  </si>
  <si>
    <t>rs28371703</t>
  </si>
  <si>
    <t>rs28371704</t>
  </si>
  <si>
    <t>rs76187628</t>
  </si>
  <si>
    <t>rs74802369</t>
  </si>
  <si>
    <t>rs78459009</t>
  </si>
  <si>
    <t>rs535642512</t>
  </si>
  <si>
    <t>rs563185985</t>
  </si>
  <si>
    <t>X.1</t>
  </si>
  <si>
    <t>rs1135822</t>
  </si>
  <si>
    <t>rs1135823</t>
  </si>
  <si>
    <t>rs766391487</t>
  </si>
  <si>
    <t>rs376636053</t>
  </si>
  <si>
    <t>rs1180015037</t>
  </si>
  <si>
    <t>rs781457579</t>
  </si>
  <si>
    <t>rs1058164</t>
  </si>
  <si>
    <t>rs375135093</t>
  </si>
  <si>
    <t>rs569229126</t>
  </si>
  <si>
    <t>rs5030655</t>
  </si>
  <si>
    <t>rs267608302</t>
  </si>
  <si>
    <t>X.2</t>
  </si>
  <si>
    <t>rs201006451</t>
  </si>
  <si>
    <t>rs1135825</t>
  </si>
  <si>
    <t>rs1135826</t>
  </si>
  <si>
    <t>rs5030865</t>
  </si>
  <si>
    <t>rs72549356</t>
  </si>
  <si>
    <t>rs556882139</t>
  </si>
  <si>
    <t>rs1459127426</t>
  </si>
  <si>
    <t>X.3</t>
  </si>
  <si>
    <t>X.4</t>
  </si>
  <si>
    <t>X.5</t>
  </si>
  <si>
    <t>rs755518310</t>
  </si>
  <si>
    <t>rs763609904</t>
  </si>
  <si>
    <t>rs72549354</t>
  </si>
  <si>
    <t>rs150163869</t>
  </si>
  <si>
    <t>rs567606867</t>
  </si>
  <si>
    <t>X.6</t>
  </si>
  <si>
    <t>rs377725912</t>
  </si>
  <si>
    <t>rs140900383</t>
  </si>
  <si>
    <t>rs777691989</t>
  </si>
  <si>
    <t>rs373813287</t>
  </si>
  <si>
    <t>rs17002853</t>
  </si>
  <si>
    <t>X.7</t>
  </si>
  <si>
    <t>rs35742686</t>
  </si>
  <si>
    <t>rs148769737</t>
  </si>
  <si>
    <t>rs72549352</t>
  </si>
  <si>
    <t>rs72549351</t>
  </si>
  <si>
    <t>rs368858603</t>
  </si>
  <si>
    <t>rs77913725</t>
  </si>
  <si>
    <t>rs1135828</t>
  </si>
  <si>
    <t>rs5030656</t>
  </si>
  <si>
    <t>rs1135829</t>
  </si>
  <si>
    <t>rs267608279</t>
  </si>
  <si>
    <t>rs949717872</t>
  </si>
  <si>
    <t>rs1406719554</t>
  </si>
  <si>
    <t>X.8</t>
  </si>
  <si>
    <t>rs730882170</t>
  </si>
  <si>
    <t>rs141009491</t>
  </si>
  <si>
    <t>rs78209835</t>
  </si>
  <si>
    <t>rs748712690</t>
  </si>
  <si>
    <t>rs141824015</t>
  </si>
  <si>
    <t>X.9</t>
  </si>
  <si>
    <t>rs76088846</t>
  </si>
  <si>
    <t>rs61736517</t>
  </si>
  <si>
    <t>rs202102799</t>
  </si>
  <si>
    <t>rs72549346</t>
  </si>
  <si>
    <t>rs1555888910</t>
  </si>
  <si>
    <t>X.10</t>
  </si>
  <si>
    <t>rs61745683</t>
  </si>
  <si>
    <t>rs75386357</t>
  </si>
  <si>
    <t>rs77312092</t>
  </si>
  <si>
    <t>rs757396767</t>
  </si>
  <si>
    <t>rs1602566413</t>
  </si>
  <si>
    <t>rs1931013246</t>
  </si>
  <si>
    <t>rs769157652</t>
  </si>
  <si>
    <t>rs747089665</t>
  </si>
  <si>
    <t>rs28371733</t>
  </si>
  <si>
    <t>rs763964554</t>
  </si>
  <si>
    <t>rs569439709</t>
  </si>
  <si>
    <t>rs730882251</t>
  </si>
  <si>
    <t>rs751092905</t>
  </si>
  <si>
    <t>rs369177208</t>
  </si>
  <si>
    <t>rs760940331</t>
  </si>
  <si>
    <t>X.11</t>
  </si>
  <si>
    <t>X.12</t>
  </si>
  <si>
    <t>rs1135832</t>
  </si>
  <si>
    <t>rs765776661</t>
  </si>
  <si>
    <t>rs1135833</t>
  </si>
  <si>
    <t>rs1135835</t>
  </si>
  <si>
    <t>rs1135836</t>
  </si>
  <si>
    <t>rs141756339</t>
  </si>
  <si>
    <t>rs28371735</t>
  </si>
  <si>
    <t>rs766507177</t>
  </si>
  <si>
    <t>X.13</t>
  </si>
  <si>
    <t>X.14</t>
  </si>
  <si>
    <t>X.15</t>
  </si>
  <si>
    <t>X.16</t>
  </si>
  <si>
    <t>rs74478221</t>
  </si>
  <si>
    <t>rs75467367</t>
  </si>
  <si>
    <t>rs747998333</t>
  </si>
  <si>
    <t>rs28371736</t>
  </si>
  <si>
    <t>rs568495591</t>
  </si>
  <si>
    <t>rs1440526469</t>
  </si>
  <si>
    <t>X.17</t>
  </si>
  <si>
    <t>CYP2D6 Allele</t>
  </si>
  <si>
    <t>*1</t>
  </si>
  <si>
    <t>G</t>
  </si>
  <si>
    <t>A</t>
  </si>
  <si>
    <t>C</t>
  </si>
  <si>
    <t>T</t>
  </si>
  <si>
    <t>S</t>
  </si>
  <si>
    <t>AAAGGGGCG</t>
  </si>
  <si>
    <t>del</t>
  </si>
  <si>
    <t>R</t>
  </si>
  <si>
    <t>GGA(2)</t>
  </si>
  <si>
    <t>TCAG(2)</t>
  </si>
  <si>
    <t>TCT</t>
  </si>
  <si>
    <t>CACATCCGGATGTAGGATC</t>
  </si>
  <si>
    <t>AC</t>
  </si>
  <si>
    <t>AG</t>
  </si>
  <si>
    <t>AGTGGGCAC</t>
  </si>
  <si>
    <t>*2</t>
  </si>
  <si>
    <t>*3</t>
  </si>
  <si>
    <t>delT</t>
  </si>
  <si>
    <t>*4</t>
  </si>
  <si>
    <t>K</t>
  </si>
  <si>
    <t>Y</t>
  </si>
  <si>
    <t>M</t>
  </si>
  <si>
    <t>*5</t>
  </si>
  <si>
    <t>CYP2D6 full gene deletion</t>
  </si>
  <si>
    <t>*6</t>
  </si>
  <si>
    <t>delA</t>
  </si>
  <si>
    <t>*7</t>
  </si>
  <si>
    <t>*8</t>
  </si>
  <si>
    <t>*9</t>
  </si>
  <si>
    <t>delTCT</t>
  </si>
  <si>
    <t>*10</t>
  </si>
  <si>
    <t>*11</t>
  </si>
  <si>
    <t>*12</t>
  </si>
  <si>
    <t>*13</t>
  </si>
  <si>
    <t>CYP2D7::CYP2D6 hybrid gene</t>
  </si>
  <si>
    <t>*14</t>
  </si>
  <si>
    <t>*15</t>
  </si>
  <si>
    <t>AA</t>
  </si>
  <si>
    <t>*17</t>
  </si>
  <si>
    <t>*18</t>
  </si>
  <si>
    <t>AGTGGGCACAGTGGGCAC</t>
  </si>
  <si>
    <t>*19</t>
  </si>
  <si>
    <t>*20</t>
  </si>
  <si>
    <t>CC</t>
  </si>
  <si>
    <t>*21</t>
  </si>
  <si>
    <t>GG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</si>
  <si>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</si>
  <si>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</si>
  <si>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</si>
  <si>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</si>
  <si>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</si>
  <si>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</si>
  <si>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</si>
  <si>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</si>
  <si>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</si>
  <si>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AAAGGGGCG(2)</t>
  </si>
  <si>
    <t>*31</t>
  </si>
  <si>
    <t>*32</t>
  </si>
  <si>
    <t>*33</t>
  </si>
  <si>
    <t>*34</t>
  </si>
  <si>
    <t>*35</t>
  </si>
  <si>
    <t>*36</t>
  </si>
  <si>
    <t>W</t>
  </si>
  <si>
    <t>*37</t>
  </si>
  <si>
    <t>*38</t>
  </si>
  <si>
    <t>TCAG(1)</t>
  </si>
  <si>
    <t>*39</t>
  </si>
  <si>
    <t>*40</t>
  </si>
  <si>
    <t>AAAGGGGCG(3)</t>
  </si>
  <si>
    <t>*41</t>
  </si>
  <si>
    <t>*42</t>
  </si>
  <si>
    <t>ACAC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</si>
  <si>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</si>
  <si>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</si>
  <si>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</si>
  <si>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</si>
  <si>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</si>
  <si>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</si>
  <si>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</si>
  <si>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</si>
  <si>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</si>
  <si>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</si>
  <si>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</si>
  <si>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</si>
  <si>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</si>
  <si>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</si>
  <si>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*58</t>
  </si>
  <si>
    <t>*59</t>
  </si>
  <si>
    <t>*60</t>
  </si>
  <si>
    <t>insTA</t>
  </si>
  <si>
    <t>*61</t>
  </si>
  <si>
    <t>CYP2D6::CYP2D7 hybrid gene</t>
  </si>
  <si>
    <t>*62</t>
  </si>
  <si>
    <t>*63</t>
  </si>
  <si>
    <t>*64</t>
  </si>
  <si>
    <t>*65</t>
  </si>
  <si>
    <t>*68</t>
  </si>
  <si>
    <t>*69</t>
  </si>
  <si>
    <t>*70</t>
  </si>
  <si>
    <t>*71</t>
  </si>
  <si>
    <t>*72</t>
  </si>
  <si>
    <t>*73</t>
  </si>
  <si>
    <t>*74</t>
  </si>
  <si>
    <t>*75</t>
  </si>
  <si>
    <t>*81</t>
  </si>
  <si>
    <t>*82</t>
  </si>
  <si>
    <t>*83</t>
  </si>
  <si>
    <t>*84</t>
  </si>
  <si>
    <t>*85</t>
  </si>
  <si>
    <t>*86</t>
  </si>
  <si>
    <t>*87</t>
  </si>
  <si>
    <t>*88</t>
  </si>
  <si>
    <t>*89</t>
  </si>
  <si>
    <t>*90</t>
  </si>
  <si>
    <t>*91</t>
  </si>
  <si>
    <t>*92</t>
  </si>
  <si>
    <t>delG</t>
  </si>
  <si>
    <t>*93</t>
  </si>
  <si>
    <t>*94</t>
  </si>
  <si>
    <t>*95</t>
  </si>
  <si>
    <t>*96</t>
  </si>
  <si>
    <t>*97</t>
  </si>
  <si>
    <t>*98</t>
  </si>
  <si>
    <t>*99</t>
  </si>
  <si>
    <t>*100</t>
  </si>
  <si>
    <t>*101</t>
  </si>
  <si>
    <t>delCACATCCGGATGTAGGATC</t>
  </si>
  <si>
    <t>*102</t>
  </si>
  <si>
    <t>*103</t>
  </si>
  <si>
    <t>*104</t>
  </si>
  <si>
    <t>*105</t>
  </si>
  <si>
    <t>*106</t>
  </si>
  <si>
    <t>*107</t>
  </si>
  <si>
    <t>*108</t>
  </si>
  <si>
    <t>*109</t>
  </si>
  <si>
    <t>*110</t>
  </si>
  <si>
    <t>*111</t>
  </si>
  <si>
    <t>*112</t>
  </si>
  <si>
    <t>*113</t>
  </si>
  <si>
    <t>*114</t>
  </si>
  <si>
    <t>*115</t>
  </si>
  <si>
    <t>*116</t>
  </si>
  <si>
    <t>*117</t>
  </si>
  <si>
    <t>*118</t>
  </si>
  <si>
    <t>*119</t>
  </si>
  <si>
    <t>*120</t>
  </si>
  <si>
    <t>*121</t>
  </si>
  <si>
    <t>*122</t>
  </si>
  <si>
    <t>*123</t>
  </si>
  <si>
    <t>*124</t>
  </si>
  <si>
    <t>delAG</t>
  </si>
  <si>
    <t>*125</t>
  </si>
  <si>
    <t>*126</t>
  </si>
  <si>
    <t>*127</t>
  </si>
  <si>
    <t>*128</t>
  </si>
  <si>
    <t>*129</t>
  </si>
  <si>
    <t>*130</t>
  </si>
  <si>
    <t>*131</t>
  </si>
  <si>
    <t>*132</t>
  </si>
  <si>
    <t>*133</t>
  </si>
  <si>
    <t>*134</t>
  </si>
  <si>
    <t>*135</t>
  </si>
  <si>
    <t>*136</t>
  </si>
  <si>
    <t>*137</t>
  </si>
  <si>
    <t>*138</t>
  </si>
  <si>
    <t>*139</t>
  </si>
  <si>
    <t>*140</t>
  </si>
  <si>
    <t>*141</t>
  </si>
  <si>
    <t>*142</t>
  </si>
  <si>
    <t>*143</t>
  </si>
  <si>
    <t>*144</t>
  </si>
  <si>
    <t>*145</t>
  </si>
  <si>
    <t>*146</t>
  </si>
  <si>
    <t>*147</t>
  </si>
  <si>
    <t>*148</t>
  </si>
  <si>
    <t>*149</t>
  </si>
  <si>
    <t>*150</t>
  </si>
  <si>
    <t>*151</t>
  </si>
  <si>
    <t>*152</t>
  </si>
  <si>
    <t>*153</t>
  </si>
  <si>
    <t>*154</t>
  </si>
  <si>
    <t>*155</t>
  </si>
  <si>
    <t>*156</t>
  </si>
  <si>
    <t>*157</t>
  </si>
  <si>
    <t>*158</t>
  </si>
  <si>
    <t>*159</t>
  </si>
  <si>
    <t>*160</t>
  </si>
  <si>
    <t>*161</t>
  </si>
  <si>
    <t>*162</t>
  </si>
  <si>
    <t>*163</t>
  </si>
  <si>
    <t>*164</t>
  </si>
  <si>
    <t>*165</t>
  </si>
  <si>
    <t>*166</t>
  </si>
  <si>
    <t>GGA(1)</t>
  </si>
  <si>
    <t>*167</t>
  </si>
  <si>
    <t>*168</t>
  </si>
  <si>
    <t>*169</t>
  </si>
  <si>
    <t>*170</t>
  </si>
  <si>
    <t>*171</t>
  </si>
  <si>
    <t>*172</t>
  </si>
  <si>
    <t>rs/*alelo</t>
  </si>
  <si>
    <t>MAF European (non-finnish)</t>
  </si>
  <si>
    <t>X.14 corresponde a rs1135837</t>
  </si>
  <si>
    <t>X.10 Corresponde a rs1555888899</t>
  </si>
  <si>
    <t xml:space="preserve">X.3 </t>
  </si>
  <si>
    <t>X.2 Corresponde a rs774943042</t>
  </si>
  <si>
    <t>X.7 Corresponde a rs1569024017</t>
  </si>
  <si>
    <t>X.4 Corresponde a rs2146937045</t>
  </si>
  <si>
    <t>X.5 Corresponde a rs747884067</t>
  </si>
  <si>
    <t>X.9 Corresponde a rs566108360</t>
  </si>
  <si>
    <t xml:space="preserve">X.1 </t>
  </si>
  <si>
    <t xml:space="preserve">rs28371736 es 0 asi que anula todo </t>
  </si>
  <si>
    <t xml:space="preserve">No afecta en genostar </t>
  </si>
  <si>
    <t xml:space="preserve">rs </t>
  </si>
  <si>
    <t>¿esta en allele def genostar?</t>
  </si>
  <si>
    <t>¿esta en alguna funcion de genostar?</t>
  </si>
  <si>
    <t>X.6 Corresponde a rs1569024017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</si>
</sst>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6" borderId="0" xfId="0" applyFill="1"/>
    <xf numFmtId="0" fontId="1" fillId="0" borderId="0" xfId="0" applyFont="1" applyFill="1" applyAlignment="1">
      <alignment horizontal="center"/>
    </xf>
    <xf numFmtId="11" fontId="0" fillId="0" borderId="0" xfId="0" applyNumberFormat="1"/>
    <xf numFmtId="0" fontId="0" fillId="7" borderId="0" xfId="0" applyFill="1"/>
    <xf numFmtId="0" fontId="0" fillId="8" borderId="0" xfId="0" applyFill="1"/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10" borderId="0" xfId="0" applyFill="1"/>
    <xf numFmtId="0" fontId="2" fillId="9" borderId="0" xfId="0" applyFont="1" applyFill="1"/>
    <xf numFmtId="11" fontId="0" fillId="10" borderId="0" xfId="0" applyNumberFormat="1" applyFill="1"/>
    <xf numFmtId="0" fontId="1" fillId="2" borderId="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5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1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25">
      <c r="A2" t="s">
        <v>111</v>
      </c>
    </row>
    <row r="3" spans="1:111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11" x14ac:dyDescent="0.25">
      <c r="A4" t="s">
        <v>128</v>
      </c>
      <c r="W4" t="s">
        <v>117</v>
      </c>
    </row>
    <row r="5" spans="1:111" x14ac:dyDescent="0.25">
      <c r="A5" t="s">
        <v>129</v>
      </c>
      <c r="AY5" t="s">
        <v>130</v>
      </c>
    </row>
    <row r="6" spans="1:111" x14ac:dyDescent="0.25">
      <c r="A6" t="s">
        <v>131</v>
      </c>
      <c r="I6" t="s">
        <v>132</v>
      </c>
      <c r="J6" t="s">
        <v>133</v>
      </c>
      <c r="W6" t="s">
        <v>117</v>
      </c>
      <c r="CO6" t="s">
        <v>117</v>
      </c>
      <c r="CQ6" t="s">
        <v>117</v>
      </c>
      <c r="CR6" t="s">
        <v>133</v>
      </c>
      <c r="CS6" t="s">
        <v>120</v>
      </c>
      <c r="CU6" t="s">
        <v>120</v>
      </c>
      <c r="CV6" t="s">
        <v>132</v>
      </c>
      <c r="CX6" t="s">
        <v>117</v>
      </c>
      <c r="CY6" t="s">
        <v>134</v>
      </c>
      <c r="CZ6" t="s">
        <v>120</v>
      </c>
      <c r="DA6" t="s">
        <v>133</v>
      </c>
      <c r="DB6" t="s">
        <v>117</v>
      </c>
      <c r="DC6" t="s">
        <v>120</v>
      </c>
      <c r="DD6" t="s">
        <v>120</v>
      </c>
    </row>
    <row r="7" spans="1:111" x14ac:dyDescent="0.25">
      <c r="A7" t="s">
        <v>135</v>
      </c>
      <c r="DG7" t="s">
        <v>136</v>
      </c>
    </row>
    <row r="8" spans="1:111" x14ac:dyDescent="0.25">
      <c r="A8" t="s">
        <v>137</v>
      </c>
      <c r="Z8" t="s">
        <v>138</v>
      </c>
    </row>
    <row r="9" spans="1:111" x14ac:dyDescent="0.25">
      <c r="A9" t="s">
        <v>139</v>
      </c>
    </row>
    <row r="10" spans="1:111" x14ac:dyDescent="0.25">
      <c r="A10" t="s">
        <v>140</v>
      </c>
      <c r="W10" t="s">
        <v>113</v>
      </c>
      <c r="AF10" t="s">
        <v>114</v>
      </c>
    </row>
    <row r="11" spans="1:111" x14ac:dyDescent="0.25">
      <c r="A11" t="s">
        <v>141</v>
      </c>
      <c r="BF11" t="s">
        <v>142</v>
      </c>
    </row>
    <row r="12" spans="1:111" x14ac:dyDescent="0.25">
      <c r="A12" t="s">
        <v>143</v>
      </c>
      <c r="W12" t="s">
        <v>113</v>
      </c>
    </row>
    <row r="13" spans="1:111" x14ac:dyDescent="0.25">
      <c r="A13" t="s">
        <v>144</v>
      </c>
      <c r="W13" t="s">
        <v>113</v>
      </c>
    </row>
    <row r="14" spans="1:111" x14ac:dyDescent="0.25">
      <c r="A14" t="s">
        <v>145</v>
      </c>
      <c r="W14" t="s">
        <v>117</v>
      </c>
    </row>
    <row r="15" spans="1:111" x14ac:dyDescent="0.25">
      <c r="A15" t="s">
        <v>146</v>
      </c>
      <c r="DG15" t="s">
        <v>147</v>
      </c>
    </row>
    <row r="16" spans="1:111" x14ac:dyDescent="0.25">
      <c r="A16" t="s">
        <v>148</v>
      </c>
      <c r="W16" t="s">
        <v>113</v>
      </c>
      <c r="AF16" t="s">
        <v>116</v>
      </c>
    </row>
    <row r="17" spans="1:94" x14ac:dyDescent="0.25">
      <c r="A17" t="s">
        <v>149</v>
      </c>
      <c r="E17" t="s">
        <v>150</v>
      </c>
    </row>
    <row r="18" spans="1:94" x14ac:dyDescent="0.25">
      <c r="A18" t="s">
        <v>151</v>
      </c>
      <c r="W18" t="s">
        <v>113</v>
      </c>
    </row>
    <row r="19" spans="1:94" x14ac:dyDescent="0.25">
      <c r="A19" t="s">
        <v>152</v>
      </c>
      <c r="CP19" t="s">
        <v>153</v>
      </c>
    </row>
    <row r="20" spans="1:94" x14ac:dyDescent="0.25">
      <c r="A20" t="s">
        <v>154</v>
      </c>
      <c r="W20" t="s">
        <v>117</v>
      </c>
    </row>
    <row r="21" spans="1:94" x14ac:dyDescent="0.25">
      <c r="A21" t="s">
        <v>155</v>
      </c>
      <c r="W21" t="s">
        <v>113</v>
      </c>
      <c r="AO21" t="s">
        <v>156</v>
      </c>
      <c r="AP21" t="s">
        <v>114</v>
      </c>
    </row>
    <row r="22" spans="1:94" x14ac:dyDescent="0.25">
      <c r="A22" t="s">
        <v>157</v>
      </c>
      <c r="W22" t="s">
        <v>113</v>
      </c>
      <c r="BA22" t="s">
        <v>158</v>
      </c>
    </row>
    <row r="23" spans="1:94" x14ac:dyDescent="0.25">
      <c r="A23" t="s">
        <v>159</v>
      </c>
    </row>
    <row r="24" spans="1:94" x14ac:dyDescent="0.25">
      <c r="A24" t="s">
        <v>160</v>
      </c>
    </row>
    <row r="25" spans="1:94" x14ac:dyDescent="0.25">
      <c r="A25" t="s">
        <v>161</v>
      </c>
      <c r="BI25" t="s">
        <v>113</v>
      </c>
    </row>
    <row r="26" spans="1:94" x14ac:dyDescent="0.25">
      <c r="A26" t="s">
        <v>162</v>
      </c>
    </row>
    <row r="27" spans="1:94" x14ac:dyDescent="0.25">
      <c r="A27" t="s">
        <v>163</v>
      </c>
      <c r="BW27" t="s">
        <v>113</v>
      </c>
    </row>
    <row r="28" spans="1:94" x14ac:dyDescent="0.25">
      <c r="A28" t="s">
        <v>164</v>
      </c>
      <c r="CD28" t="s">
        <v>116</v>
      </c>
    </row>
    <row r="29" spans="1:94" x14ac:dyDescent="0.25">
      <c r="A29" t="s">
        <v>165</v>
      </c>
      <c r="W29" t="s">
        <v>113</v>
      </c>
    </row>
    <row r="30" spans="1:94" x14ac:dyDescent="0.25">
      <c r="A30" t="s">
        <v>166</v>
      </c>
      <c r="W30" t="s">
        <v>113</v>
      </c>
    </row>
    <row r="31" spans="1:94" x14ac:dyDescent="0.25">
      <c r="A31" t="s">
        <v>167</v>
      </c>
      <c r="W31" t="s">
        <v>113</v>
      </c>
      <c r="AG31" t="s">
        <v>168</v>
      </c>
    </row>
    <row r="32" spans="1:94" x14ac:dyDescent="0.25">
      <c r="A32" t="s">
        <v>169</v>
      </c>
      <c r="W32" t="s">
        <v>113</v>
      </c>
    </row>
    <row r="33" spans="1:108" x14ac:dyDescent="0.25">
      <c r="A33" t="s">
        <v>170</v>
      </c>
      <c r="W33" t="s">
        <v>113</v>
      </c>
      <c r="CD33" t="s">
        <v>116</v>
      </c>
    </row>
    <row r="34" spans="1:108" x14ac:dyDescent="0.25">
      <c r="A34" t="s">
        <v>171</v>
      </c>
    </row>
    <row r="35" spans="1:108" x14ac:dyDescent="0.25">
      <c r="A35" t="s">
        <v>172</v>
      </c>
    </row>
    <row r="36" spans="1:108" x14ac:dyDescent="0.25">
      <c r="A36" t="s">
        <v>173</v>
      </c>
      <c r="W36" t="s">
        <v>113</v>
      </c>
    </row>
    <row r="37" spans="1:108" x14ac:dyDescent="0.25">
      <c r="A37" t="s">
        <v>174</v>
      </c>
      <c r="Q37" t="s">
        <v>175</v>
      </c>
      <c r="R37" t="s">
        <v>134</v>
      </c>
      <c r="W37" t="s">
        <v>113</v>
      </c>
      <c r="CO37" t="s">
        <v>113</v>
      </c>
      <c r="CQ37" t="s">
        <v>115</v>
      </c>
      <c r="CR37" t="s">
        <v>115</v>
      </c>
      <c r="CS37" t="s">
        <v>113</v>
      </c>
      <c r="CU37" t="s">
        <v>114</v>
      </c>
      <c r="CV37" t="s">
        <v>113</v>
      </c>
      <c r="CX37" t="s">
        <v>113</v>
      </c>
      <c r="CY37" t="s">
        <v>115</v>
      </c>
      <c r="CZ37" t="s">
        <v>113</v>
      </c>
      <c r="DA37" t="s">
        <v>116</v>
      </c>
      <c r="DB37" t="s">
        <v>115</v>
      </c>
      <c r="DC37" t="s">
        <v>113</v>
      </c>
      <c r="DD37" t="s">
        <v>114</v>
      </c>
    </row>
    <row r="38" spans="1:108" x14ac:dyDescent="0.25">
      <c r="A38" t="s">
        <v>176</v>
      </c>
      <c r="W38" t="s">
        <v>113</v>
      </c>
    </row>
    <row r="39" spans="1:108" x14ac:dyDescent="0.25">
      <c r="A39" t="s">
        <v>177</v>
      </c>
      <c r="BB39" t="s">
        <v>178</v>
      </c>
    </row>
    <row r="40" spans="1:108" x14ac:dyDescent="0.25">
      <c r="A40" t="s">
        <v>179</v>
      </c>
      <c r="W40" t="s">
        <v>117</v>
      </c>
    </row>
    <row r="41" spans="1:108" x14ac:dyDescent="0.25">
      <c r="A41" t="s">
        <v>180</v>
      </c>
      <c r="W41" t="s">
        <v>113</v>
      </c>
      <c r="AG41" t="s">
        <v>181</v>
      </c>
    </row>
    <row r="42" spans="1:108" x14ac:dyDescent="0.25">
      <c r="A42" t="s">
        <v>182</v>
      </c>
      <c r="W42" t="s">
        <v>113</v>
      </c>
    </row>
    <row r="43" spans="1:108" x14ac:dyDescent="0.25">
      <c r="A43" t="s">
        <v>183</v>
      </c>
      <c r="W43" t="s">
        <v>113</v>
      </c>
      <c r="BU43" t="s">
        <v>184</v>
      </c>
    </row>
    <row r="44" spans="1:108" x14ac:dyDescent="0.25">
      <c r="A44" t="s">
        <v>185</v>
      </c>
    </row>
    <row r="45" spans="1:108" x14ac:dyDescent="0.25">
      <c r="A45" t="s">
        <v>186</v>
      </c>
    </row>
    <row r="46" spans="1:108" x14ac:dyDescent="0.25">
      <c r="A46" t="s">
        <v>187</v>
      </c>
      <c r="W46" t="s">
        <v>113</v>
      </c>
    </row>
    <row r="47" spans="1:108" x14ac:dyDescent="0.25">
      <c r="A47" t="s">
        <v>188</v>
      </c>
      <c r="W47" t="s">
        <v>113</v>
      </c>
    </row>
    <row r="48" spans="1:108" x14ac:dyDescent="0.25">
      <c r="A48" t="s">
        <v>189</v>
      </c>
      <c r="W48" t="s">
        <v>113</v>
      </c>
    </row>
    <row r="49" spans="1:111" x14ac:dyDescent="0.25">
      <c r="A49" t="s">
        <v>190</v>
      </c>
    </row>
    <row r="50" spans="1:111" x14ac:dyDescent="0.25">
      <c r="A50" t="s">
        <v>191</v>
      </c>
      <c r="Q50" t="s">
        <v>116</v>
      </c>
      <c r="W50" t="s">
        <v>113</v>
      </c>
    </row>
    <row r="51" spans="1:111" x14ac:dyDescent="0.25">
      <c r="A51" t="s">
        <v>192</v>
      </c>
      <c r="AA51" t="s">
        <v>113</v>
      </c>
    </row>
    <row r="52" spans="1:111" x14ac:dyDescent="0.25">
      <c r="A52" t="s">
        <v>193</v>
      </c>
      <c r="W52" t="s">
        <v>113</v>
      </c>
    </row>
    <row r="53" spans="1:111" x14ac:dyDescent="0.25">
      <c r="A53" t="s">
        <v>194</v>
      </c>
      <c r="W53" t="s">
        <v>113</v>
      </c>
      <c r="CF53" t="s">
        <v>116</v>
      </c>
    </row>
    <row r="54" spans="1:111" x14ac:dyDescent="0.25">
      <c r="A54" t="s">
        <v>195</v>
      </c>
      <c r="Q54" t="s">
        <v>116</v>
      </c>
      <c r="R54" t="s">
        <v>114</v>
      </c>
    </row>
    <row r="55" spans="1:111" x14ac:dyDescent="0.25">
      <c r="A55" t="s">
        <v>196</v>
      </c>
      <c r="W55" t="s">
        <v>113</v>
      </c>
    </row>
    <row r="56" spans="1:111" x14ac:dyDescent="0.25">
      <c r="A56" t="s">
        <v>197</v>
      </c>
      <c r="W56" t="s">
        <v>113</v>
      </c>
      <c r="CC56" t="s">
        <v>113</v>
      </c>
    </row>
    <row r="57" spans="1:111" x14ac:dyDescent="0.25">
      <c r="A57" t="s">
        <v>198</v>
      </c>
      <c r="W57" t="s">
        <v>113</v>
      </c>
    </row>
    <row r="58" spans="1:111" x14ac:dyDescent="0.25">
      <c r="A58" t="s">
        <v>199</v>
      </c>
      <c r="W58" t="s">
        <v>113</v>
      </c>
      <c r="AG58" t="s">
        <v>168</v>
      </c>
    </row>
    <row r="59" spans="1:111" x14ac:dyDescent="0.25">
      <c r="A59" t="s">
        <v>200</v>
      </c>
      <c r="W59" t="s">
        <v>113</v>
      </c>
    </row>
    <row r="60" spans="1:111" x14ac:dyDescent="0.25">
      <c r="A60" t="s">
        <v>201</v>
      </c>
      <c r="AJ60" t="s">
        <v>202</v>
      </c>
    </row>
    <row r="61" spans="1:111" x14ac:dyDescent="0.25">
      <c r="A61" t="s">
        <v>203</v>
      </c>
      <c r="DG61" t="s">
        <v>204</v>
      </c>
    </row>
    <row r="62" spans="1:111" x14ac:dyDescent="0.25">
      <c r="A62" t="s">
        <v>205</v>
      </c>
      <c r="CI62" t="s">
        <v>114</v>
      </c>
    </row>
    <row r="63" spans="1:111" x14ac:dyDescent="0.25">
      <c r="A63" t="s">
        <v>206</v>
      </c>
      <c r="DG63" t="s">
        <v>204</v>
      </c>
    </row>
    <row r="64" spans="1:111" x14ac:dyDescent="0.25">
      <c r="A64" t="s">
        <v>207</v>
      </c>
      <c r="W64" t="s">
        <v>113</v>
      </c>
    </row>
    <row r="65" spans="1:111" x14ac:dyDescent="0.25">
      <c r="A65" t="s">
        <v>208</v>
      </c>
      <c r="W65" t="s">
        <v>113</v>
      </c>
    </row>
    <row r="66" spans="1:111" x14ac:dyDescent="0.25">
      <c r="A66" t="s">
        <v>209</v>
      </c>
      <c r="DG66" t="s">
        <v>204</v>
      </c>
    </row>
    <row r="67" spans="1:111" x14ac:dyDescent="0.25">
      <c r="A67" t="s">
        <v>210</v>
      </c>
      <c r="W67" t="s">
        <v>113</v>
      </c>
    </row>
    <row r="68" spans="1:111" x14ac:dyDescent="0.25">
      <c r="A68" t="s">
        <v>211</v>
      </c>
      <c r="W68" t="s">
        <v>113</v>
      </c>
    </row>
    <row r="69" spans="1:111" x14ac:dyDescent="0.25">
      <c r="A69" t="s">
        <v>212</v>
      </c>
    </row>
    <row r="70" spans="1:111" x14ac:dyDescent="0.25">
      <c r="A70" t="s">
        <v>213</v>
      </c>
      <c r="W70" t="s">
        <v>113</v>
      </c>
      <c r="BY70" t="s">
        <v>116</v>
      </c>
    </row>
    <row r="71" spans="1:111" x14ac:dyDescent="0.25">
      <c r="A71" t="s">
        <v>214</v>
      </c>
      <c r="W71" t="s">
        <v>113</v>
      </c>
    </row>
    <row r="72" spans="1:111" x14ac:dyDescent="0.25">
      <c r="A72" t="s">
        <v>215</v>
      </c>
      <c r="I72" t="s">
        <v>116</v>
      </c>
    </row>
    <row r="73" spans="1:111" x14ac:dyDescent="0.25">
      <c r="A73" t="s">
        <v>216</v>
      </c>
    </row>
    <row r="74" spans="1:111" x14ac:dyDescent="0.25">
      <c r="A74" t="s">
        <v>217</v>
      </c>
      <c r="BD74" t="s">
        <v>116</v>
      </c>
      <c r="BE74" t="s">
        <v>116</v>
      </c>
    </row>
    <row r="75" spans="1:111" x14ac:dyDescent="0.25">
      <c r="A75" t="s">
        <v>218</v>
      </c>
      <c r="I75" t="s">
        <v>116</v>
      </c>
      <c r="J75" t="s">
        <v>115</v>
      </c>
      <c r="K75" t="s">
        <v>113</v>
      </c>
      <c r="L75" t="s">
        <v>114</v>
      </c>
      <c r="M75" t="s">
        <v>115</v>
      </c>
    </row>
    <row r="76" spans="1:111" x14ac:dyDescent="0.25">
      <c r="A76" t="s">
        <v>219</v>
      </c>
      <c r="CO76" t="s">
        <v>113</v>
      </c>
      <c r="CQ76" t="s">
        <v>115</v>
      </c>
      <c r="CR76" t="s">
        <v>115</v>
      </c>
      <c r="CS76" t="s">
        <v>113</v>
      </c>
      <c r="CU76" t="s">
        <v>114</v>
      </c>
      <c r="CV76" t="s">
        <v>113</v>
      </c>
      <c r="CX76" t="s">
        <v>113</v>
      </c>
      <c r="CY76" t="s">
        <v>115</v>
      </c>
      <c r="CZ76" t="s">
        <v>113</v>
      </c>
      <c r="DA76" t="s">
        <v>116</v>
      </c>
      <c r="DB76" t="s">
        <v>115</v>
      </c>
      <c r="DC76" t="s">
        <v>113</v>
      </c>
      <c r="DD76" t="s">
        <v>114</v>
      </c>
    </row>
    <row r="77" spans="1:111" x14ac:dyDescent="0.25">
      <c r="A77" t="s">
        <v>220</v>
      </c>
      <c r="W77" t="s">
        <v>113</v>
      </c>
      <c r="AZ77" t="s">
        <v>116</v>
      </c>
    </row>
    <row r="78" spans="1:111" x14ac:dyDescent="0.25">
      <c r="A78" t="s">
        <v>221</v>
      </c>
      <c r="W78" t="s">
        <v>113</v>
      </c>
      <c r="CW78" t="s">
        <v>115</v>
      </c>
    </row>
    <row r="79" spans="1:111" x14ac:dyDescent="0.25">
      <c r="A79" t="s">
        <v>222</v>
      </c>
      <c r="BD79" t="s">
        <v>116</v>
      </c>
      <c r="BE79" t="s">
        <v>116</v>
      </c>
    </row>
    <row r="80" spans="1:111" x14ac:dyDescent="0.25">
      <c r="A80" t="s">
        <v>223</v>
      </c>
      <c r="B80" t="s">
        <v>114</v>
      </c>
      <c r="W80" t="s">
        <v>113</v>
      </c>
    </row>
    <row r="81" spans="1:92" x14ac:dyDescent="0.25">
      <c r="A81" t="s">
        <v>224</v>
      </c>
      <c r="K81" t="s">
        <v>113</v>
      </c>
      <c r="W81" t="s">
        <v>113</v>
      </c>
    </row>
    <row r="82" spans="1:92" x14ac:dyDescent="0.25">
      <c r="A82" t="s">
        <v>225</v>
      </c>
      <c r="X82" t="s">
        <v>113</v>
      </c>
    </row>
    <row r="83" spans="1:92" x14ac:dyDescent="0.25">
      <c r="A83" t="s">
        <v>226</v>
      </c>
      <c r="Y83" t="s">
        <v>115</v>
      </c>
    </row>
    <row r="84" spans="1:92" x14ac:dyDescent="0.25">
      <c r="A84" t="s">
        <v>227</v>
      </c>
      <c r="AB84" t="s">
        <v>113</v>
      </c>
    </row>
    <row r="85" spans="1:92" x14ac:dyDescent="0.25">
      <c r="A85" t="s">
        <v>228</v>
      </c>
      <c r="AR85" t="s">
        <v>229</v>
      </c>
    </row>
    <row r="86" spans="1:92" x14ac:dyDescent="0.25">
      <c r="A86" t="s">
        <v>230</v>
      </c>
      <c r="AX86" t="s">
        <v>113</v>
      </c>
    </row>
    <row r="87" spans="1:92" x14ac:dyDescent="0.25">
      <c r="A87" t="s">
        <v>231</v>
      </c>
      <c r="W87" t="s">
        <v>113</v>
      </c>
      <c r="BO87" t="s">
        <v>115</v>
      </c>
    </row>
    <row r="88" spans="1:92" x14ac:dyDescent="0.25">
      <c r="A88" t="s">
        <v>232</v>
      </c>
      <c r="W88" t="s">
        <v>113</v>
      </c>
      <c r="BZ88" t="s">
        <v>116</v>
      </c>
    </row>
    <row r="89" spans="1:92" x14ac:dyDescent="0.25">
      <c r="A89" t="s">
        <v>233</v>
      </c>
      <c r="CG89" t="s">
        <v>114</v>
      </c>
    </row>
    <row r="90" spans="1:92" x14ac:dyDescent="0.25">
      <c r="A90" t="s">
        <v>234</v>
      </c>
      <c r="CM90" t="s">
        <v>116</v>
      </c>
    </row>
    <row r="91" spans="1:92" x14ac:dyDescent="0.25">
      <c r="A91" t="s">
        <v>235</v>
      </c>
      <c r="W91" t="s">
        <v>113</v>
      </c>
      <c r="CN91" t="s">
        <v>115</v>
      </c>
    </row>
    <row r="92" spans="1:92" x14ac:dyDescent="0.25">
      <c r="A92" t="s">
        <v>236</v>
      </c>
      <c r="H92" t="s">
        <v>113</v>
      </c>
      <c r="W92" t="s">
        <v>113</v>
      </c>
    </row>
    <row r="93" spans="1:92" x14ac:dyDescent="0.25">
      <c r="A93" t="s">
        <v>237</v>
      </c>
      <c r="W93" t="s">
        <v>113</v>
      </c>
      <c r="BH93" t="s">
        <v>229</v>
      </c>
    </row>
    <row r="94" spans="1:92" x14ac:dyDescent="0.25">
      <c r="A94" t="s">
        <v>238</v>
      </c>
      <c r="W94" t="s">
        <v>113</v>
      </c>
      <c r="BL94" t="s">
        <v>239</v>
      </c>
    </row>
    <row r="95" spans="1:92" x14ac:dyDescent="0.25">
      <c r="A95" t="s">
        <v>240</v>
      </c>
      <c r="W95" t="s">
        <v>113</v>
      </c>
    </row>
    <row r="96" spans="1:92" x14ac:dyDescent="0.25">
      <c r="A96" t="s">
        <v>241</v>
      </c>
      <c r="W96" t="s">
        <v>113</v>
      </c>
    </row>
    <row r="97" spans="1:109" x14ac:dyDescent="0.25">
      <c r="A97" t="s">
        <v>242</v>
      </c>
      <c r="W97" t="s">
        <v>113</v>
      </c>
      <c r="AA97" t="s">
        <v>114</v>
      </c>
    </row>
    <row r="98" spans="1:109" x14ac:dyDescent="0.25">
      <c r="A98" t="s">
        <v>243</v>
      </c>
      <c r="W98" t="s">
        <v>113</v>
      </c>
      <c r="BV98" t="s">
        <v>113</v>
      </c>
    </row>
    <row r="99" spans="1:109" x14ac:dyDescent="0.25">
      <c r="A99" t="s">
        <v>244</v>
      </c>
      <c r="CF99" t="s">
        <v>116</v>
      </c>
    </row>
    <row r="100" spans="1:109" x14ac:dyDescent="0.25">
      <c r="A100" t="s">
        <v>245</v>
      </c>
    </row>
    <row r="101" spans="1:109" x14ac:dyDescent="0.25">
      <c r="A101" t="s">
        <v>246</v>
      </c>
      <c r="BS101" t="s">
        <v>115</v>
      </c>
      <c r="BT101" t="s">
        <v>115</v>
      </c>
    </row>
    <row r="102" spans="1:109" x14ac:dyDescent="0.25">
      <c r="A102" t="s">
        <v>247</v>
      </c>
      <c r="BF102" t="s">
        <v>142</v>
      </c>
    </row>
    <row r="103" spans="1:109" x14ac:dyDescent="0.25">
      <c r="A103" t="s">
        <v>248</v>
      </c>
      <c r="CJ103" t="s">
        <v>116</v>
      </c>
    </row>
    <row r="104" spans="1:109" x14ac:dyDescent="0.25">
      <c r="A104" t="s">
        <v>249</v>
      </c>
      <c r="N104" t="s">
        <v>116</v>
      </c>
      <c r="W104" t="s">
        <v>113</v>
      </c>
    </row>
    <row r="105" spans="1:109" x14ac:dyDescent="0.25">
      <c r="A105" t="s">
        <v>250</v>
      </c>
      <c r="DE105" t="s">
        <v>114</v>
      </c>
    </row>
    <row r="106" spans="1:109" x14ac:dyDescent="0.25">
      <c r="A106" t="s">
        <v>251</v>
      </c>
      <c r="CH106" t="s">
        <v>116</v>
      </c>
    </row>
    <row r="107" spans="1:109" x14ac:dyDescent="0.25">
      <c r="A107" t="s">
        <v>252</v>
      </c>
      <c r="AF107" t="s">
        <v>116</v>
      </c>
    </row>
    <row r="108" spans="1:109" x14ac:dyDescent="0.25">
      <c r="A108" t="s">
        <v>253</v>
      </c>
      <c r="BF108" t="s">
        <v>142</v>
      </c>
      <c r="BG108" t="s">
        <v>115</v>
      </c>
    </row>
    <row r="109" spans="1:109" x14ac:dyDescent="0.25">
      <c r="A109" t="s">
        <v>254</v>
      </c>
      <c r="BM109" t="s">
        <v>113</v>
      </c>
    </row>
    <row r="110" spans="1:109" x14ac:dyDescent="0.25">
      <c r="A110" t="s">
        <v>255</v>
      </c>
      <c r="W110" t="s">
        <v>113</v>
      </c>
      <c r="BN110" t="s">
        <v>116</v>
      </c>
    </row>
    <row r="111" spans="1:109" x14ac:dyDescent="0.25">
      <c r="A111" t="s">
        <v>256</v>
      </c>
      <c r="BK111" t="s">
        <v>115</v>
      </c>
    </row>
    <row r="112" spans="1:109" x14ac:dyDescent="0.25">
      <c r="A112" t="s">
        <v>257</v>
      </c>
    </row>
    <row r="113" spans="1:89" x14ac:dyDescent="0.25">
      <c r="A113" t="s">
        <v>258</v>
      </c>
      <c r="C113" t="s">
        <v>229</v>
      </c>
    </row>
    <row r="114" spans="1:89" x14ac:dyDescent="0.25">
      <c r="A114" t="s">
        <v>259</v>
      </c>
      <c r="W114" t="s">
        <v>113</v>
      </c>
      <c r="AD114" t="s">
        <v>116</v>
      </c>
      <c r="AE114" t="s">
        <v>115</v>
      </c>
    </row>
    <row r="115" spans="1:89" x14ac:dyDescent="0.25">
      <c r="A115" t="s">
        <v>260</v>
      </c>
      <c r="BX115" t="s">
        <v>116</v>
      </c>
    </row>
    <row r="116" spans="1:89" x14ac:dyDescent="0.25">
      <c r="A116" t="s">
        <v>261</v>
      </c>
      <c r="W116" t="s">
        <v>113</v>
      </c>
      <c r="BJ116" t="s">
        <v>113</v>
      </c>
    </row>
    <row r="117" spans="1:89" x14ac:dyDescent="0.25">
      <c r="A117" t="s">
        <v>262</v>
      </c>
      <c r="AP117" t="s">
        <v>120</v>
      </c>
      <c r="CA117" t="s">
        <v>263</v>
      </c>
    </row>
    <row r="118" spans="1:89" x14ac:dyDescent="0.25">
      <c r="A118" t="s">
        <v>264</v>
      </c>
      <c r="W118" t="s">
        <v>113</v>
      </c>
      <c r="CK118" t="s">
        <v>116</v>
      </c>
    </row>
    <row r="119" spans="1:89" x14ac:dyDescent="0.25">
      <c r="A119" t="s">
        <v>265</v>
      </c>
      <c r="V119" t="s">
        <v>114</v>
      </c>
      <c r="W119" t="s">
        <v>113</v>
      </c>
    </row>
    <row r="120" spans="1:89" x14ac:dyDescent="0.25">
      <c r="A120" t="s">
        <v>266</v>
      </c>
      <c r="BT120" t="s">
        <v>115</v>
      </c>
    </row>
    <row r="121" spans="1:89" x14ac:dyDescent="0.25">
      <c r="A121" t="s">
        <v>267</v>
      </c>
      <c r="G121" t="s">
        <v>115</v>
      </c>
      <c r="W121" t="s">
        <v>113</v>
      </c>
    </row>
    <row r="122" spans="1:89" x14ac:dyDescent="0.25">
      <c r="A122" t="s">
        <v>268</v>
      </c>
      <c r="U122" t="s">
        <v>116</v>
      </c>
      <c r="W122" t="s">
        <v>113</v>
      </c>
    </row>
    <row r="123" spans="1:89" x14ac:dyDescent="0.25">
      <c r="A123" t="s">
        <v>269</v>
      </c>
      <c r="AK123" t="s">
        <v>113</v>
      </c>
      <c r="AL123" t="s">
        <v>114</v>
      </c>
    </row>
    <row r="124" spans="1:89" x14ac:dyDescent="0.25">
      <c r="A124" t="s">
        <v>270</v>
      </c>
      <c r="AW124" t="s">
        <v>113</v>
      </c>
    </row>
    <row r="125" spans="1:89" x14ac:dyDescent="0.25">
      <c r="A125" t="s">
        <v>271</v>
      </c>
      <c r="W125" t="s">
        <v>113</v>
      </c>
      <c r="BG125" t="s">
        <v>115</v>
      </c>
    </row>
    <row r="126" spans="1:89" x14ac:dyDescent="0.25">
      <c r="A126" t="s">
        <v>272</v>
      </c>
      <c r="W126" t="s">
        <v>113</v>
      </c>
      <c r="BQ126" t="s">
        <v>116</v>
      </c>
    </row>
    <row r="127" spans="1:89" x14ac:dyDescent="0.25">
      <c r="A127" t="s">
        <v>273</v>
      </c>
      <c r="BR127" t="s">
        <v>116</v>
      </c>
    </row>
    <row r="128" spans="1:89" x14ac:dyDescent="0.25">
      <c r="A128" t="s">
        <v>274</v>
      </c>
      <c r="W128" t="s">
        <v>113</v>
      </c>
      <c r="CE128" t="s">
        <v>114</v>
      </c>
    </row>
    <row r="129" spans="1:110" x14ac:dyDescent="0.25">
      <c r="A129" t="s">
        <v>275</v>
      </c>
      <c r="W129" t="s">
        <v>113</v>
      </c>
    </row>
    <row r="130" spans="1:110" x14ac:dyDescent="0.25">
      <c r="A130" t="s">
        <v>276</v>
      </c>
      <c r="DF130" t="s">
        <v>116</v>
      </c>
    </row>
    <row r="131" spans="1:110" x14ac:dyDescent="0.25">
      <c r="A131" t="s">
        <v>277</v>
      </c>
      <c r="W131" t="s">
        <v>113</v>
      </c>
      <c r="CT131" t="s">
        <v>116</v>
      </c>
    </row>
    <row r="132" spans="1:110" x14ac:dyDescent="0.25">
      <c r="A132" t="s">
        <v>278</v>
      </c>
    </row>
    <row r="133" spans="1:110" x14ac:dyDescent="0.25">
      <c r="A133" t="s">
        <v>279</v>
      </c>
      <c r="AV133" t="s">
        <v>114</v>
      </c>
    </row>
    <row r="134" spans="1:110" x14ac:dyDescent="0.25">
      <c r="A134" t="s">
        <v>280</v>
      </c>
      <c r="W134" t="s">
        <v>113</v>
      </c>
      <c r="CD134" t="s">
        <v>116</v>
      </c>
      <c r="CO134" t="s">
        <v>113</v>
      </c>
      <c r="CQ134" t="s">
        <v>115</v>
      </c>
      <c r="CR134" t="s">
        <v>115</v>
      </c>
      <c r="CS134" t="s">
        <v>113</v>
      </c>
      <c r="CU134" t="s">
        <v>114</v>
      </c>
      <c r="CV134" t="s">
        <v>113</v>
      </c>
      <c r="CX134" t="s">
        <v>113</v>
      </c>
      <c r="CY134" t="s">
        <v>115</v>
      </c>
      <c r="CZ134" t="s">
        <v>113</v>
      </c>
      <c r="DA134" t="s">
        <v>116</v>
      </c>
      <c r="DB134" t="s">
        <v>115</v>
      </c>
      <c r="DC134" t="s">
        <v>113</v>
      </c>
      <c r="DD134" t="s">
        <v>114</v>
      </c>
    </row>
    <row r="135" spans="1:110" x14ac:dyDescent="0.25">
      <c r="A135" t="s">
        <v>281</v>
      </c>
      <c r="W135" t="s">
        <v>113</v>
      </c>
    </row>
    <row r="136" spans="1:110" x14ac:dyDescent="0.25">
      <c r="A136" t="s">
        <v>282</v>
      </c>
      <c r="S136" t="s">
        <v>115</v>
      </c>
    </row>
    <row r="137" spans="1:110" x14ac:dyDescent="0.25">
      <c r="A137" t="s">
        <v>283</v>
      </c>
      <c r="AS137" t="s">
        <v>116</v>
      </c>
    </row>
    <row r="138" spans="1:110" x14ac:dyDescent="0.25">
      <c r="A138" t="s">
        <v>284</v>
      </c>
      <c r="AG138" t="s">
        <v>168</v>
      </c>
    </row>
    <row r="139" spans="1:110" x14ac:dyDescent="0.25">
      <c r="A139" t="s">
        <v>285</v>
      </c>
      <c r="W139" t="s">
        <v>117</v>
      </c>
    </row>
    <row r="140" spans="1:110" x14ac:dyDescent="0.25">
      <c r="A140" t="s">
        <v>286</v>
      </c>
      <c r="W140" t="s">
        <v>113</v>
      </c>
      <c r="AG140" t="s">
        <v>168</v>
      </c>
    </row>
    <row r="141" spans="1:110" x14ac:dyDescent="0.25">
      <c r="A141" t="s">
        <v>287</v>
      </c>
      <c r="W141" t="s">
        <v>113</v>
      </c>
      <c r="CD141" t="s">
        <v>116</v>
      </c>
    </row>
    <row r="142" spans="1:110" x14ac:dyDescent="0.25">
      <c r="A142" t="s">
        <v>288</v>
      </c>
      <c r="W142" t="s">
        <v>113</v>
      </c>
    </row>
    <row r="143" spans="1:110" x14ac:dyDescent="0.25">
      <c r="A143" t="s">
        <v>289</v>
      </c>
      <c r="W143" t="s">
        <v>117</v>
      </c>
      <c r="AN143" t="s">
        <v>156</v>
      </c>
      <c r="AP143" t="s">
        <v>114</v>
      </c>
    </row>
    <row r="144" spans="1:110" x14ac:dyDescent="0.25">
      <c r="A144" t="s">
        <v>290</v>
      </c>
      <c r="AI144" t="s">
        <v>115</v>
      </c>
    </row>
    <row r="145" spans="1:90" x14ac:dyDescent="0.25">
      <c r="A145" t="s">
        <v>291</v>
      </c>
      <c r="AT145" t="s">
        <v>114</v>
      </c>
    </row>
    <row r="146" spans="1:90" x14ac:dyDescent="0.25">
      <c r="A146" t="s">
        <v>292</v>
      </c>
      <c r="AQ146" t="s">
        <v>116</v>
      </c>
    </row>
    <row r="147" spans="1:90" x14ac:dyDescent="0.25">
      <c r="A147" t="s">
        <v>293</v>
      </c>
      <c r="W147" t="s">
        <v>113</v>
      </c>
    </row>
    <row r="148" spans="1:90" x14ac:dyDescent="0.25">
      <c r="A148" t="s">
        <v>294</v>
      </c>
      <c r="W148" t="s">
        <v>113</v>
      </c>
      <c r="CL148" t="s">
        <v>116</v>
      </c>
    </row>
    <row r="149" spans="1:90" x14ac:dyDescent="0.25">
      <c r="A149" t="s">
        <v>295</v>
      </c>
      <c r="F149" t="s">
        <v>114</v>
      </c>
      <c r="W149" t="s">
        <v>113</v>
      </c>
    </row>
    <row r="150" spans="1:90" x14ac:dyDescent="0.25">
      <c r="A150" t="s">
        <v>296</v>
      </c>
      <c r="W150" t="s">
        <v>113</v>
      </c>
      <c r="AC150" t="s">
        <v>114</v>
      </c>
    </row>
    <row r="151" spans="1:90" x14ac:dyDescent="0.25">
      <c r="A151" t="s">
        <v>297</v>
      </c>
      <c r="W151" t="s">
        <v>113</v>
      </c>
      <c r="BP151" t="s">
        <v>113</v>
      </c>
    </row>
    <row r="152" spans="1:90" x14ac:dyDescent="0.25">
      <c r="A152" t="s">
        <v>298</v>
      </c>
      <c r="D152" t="s">
        <v>114</v>
      </c>
      <c r="W152" t="s">
        <v>113</v>
      </c>
    </row>
    <row r="153" spans="1:90" x14ac:dyDescent="0.25">
      <c r="A153" t="s">
        <v>299</v>
      </c>
      <c r="I153" t="s">
        <v>116</v>
      </c>
      <c r="J153" t="s">
        <v>115</v>
      </c>
      <c r="W153" t="s">
        <v>113</v>
      </c>
    </row>
    <row r="154" spans="1:90" x14ac:dyDescent="0.25">
      <c r="A154" t="s">
        <v>300</v>
      </c>
      <c r="W154" t="s">
        <v>113</v>
      </c>
      <c r="BC154" t="s">
        <v>150</v>
      </c>
    </row>
    <row r="155" spans="1:90" x14ac:dyDescent="0.25">
      <c r="A155" t="s">
        <v>301</v>
      </c>
      <c r="W155" t="s">
        <v>113</v>
      </c>
      <c r="CD155" t="s">
        <v>116</v>
      </c>
    </row>
    <row r="156" spans="1:90" x14ac:dyDescent="0.25">
      <c r="A156" t="s">
        <v>302</v>
      </c>
      <c r="T156" t="s">
        <v>113</v>
      </c>
      <c r="W156" t="s">
        <v>113</v>
      </c>
    </row>
    <row r="157" spans="1:90" x14ac:dyDescent="0.25">
      <c r="A157" t="s">
        <v>303</v>
      </c>
      <c r="W157" t="s">
        <v>113</v>
      </c>
    </row>
    <row r="158" spans="1:90" x14ac:dyDescent="0.25">
      <c r="A158" t="s">
        <v>304</v>
      </c>
      <c r="W158" t="s">
        <v>113</v>
      </c>
      <c r="AH158" t="s">
        <v>116</v>
      </c>
    </row>
    <row r="159" spans="1:90" x14ac:dyDescent="0.25">
      <c r="A159" t="s">
        <v>305</v>
      </c>
      <c r="W159" t="s">
        <v>113</v>
      </c>
      <c r="AU159" t="s">
        <v>306</v>
      </c>
    </row>
    <row r="160" spans="1:90" x14ac:dyDescent="0.25">
      <c r="A160" t="s">
        <v>307</v>
      </c>
      <c r="P160" t="s">
        <v>115</v>
      </c>
    </row>
    <row r="161" spans="1:80" x14ac:dyDescent="0.25">
      <c r="A161" t="s">
        <v>308</v>
      </c>
      <c r="AM161" t="s">
        <v>116</v>
      </c>
    </row>
    <row r="162" spans="1:80" x14ac:dyDescent="0.25">
      <c r="A162" t="s">
        <v>309</v>
      </c>
      <c r="CB162" t="s">
        <v>113</v>
      </c>
    </row>
    <row r="163" spans="1:80" x14ac:dyDescent="0.25">
      <c r="A163" t="s">
        <v>310</v>
      </c>
    </row>
    <row r="164" spans="1:80" x14ac:dyDescent="0.25">
      <c r="A164" t="s">
        <v>311</v>
      </c>
      <c r="W164" t="s">
        <v>113</v>
      </c>
    </row>
    <row r="165" spans="1:80" x14ac:dyDescent="0.25">
      <c r="A165" t="s">
        <v>312</v>
      </c>
      <c r="O165" t="s">
        <v>113</v>
      </c>
      <c r="W165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51"/>
  <sheetViews>
    <sheetView topLeftCell="DC1" workbookViewId="0">
      <selection activeCell="DC1" sqref="A1:XFD1048576"/>
    </sheetView>
  </sheetViews>
  <sheetFormatPr baseColWidth="10" defaultColWidth="9.140625" defaultRowHeight="15" x14ac:dyDescent="0.25"/>
  <cols>
    <col min="112" max="112" width="14.85546875" customWidth="1"/>
    <col min="117" max="117" width="19.28515625" customWidth="1"/>
    <col min="118" max="118" width="10.5703125" customWidth="1"/>
    <col min="119" max="120" width="10.42578125" customWidth="1"/>
    <col min="122" max="122" width="12" bestFit="1" customWidth="1"/>
  </cols>
  <sheetData>
    <row r="1" spans="1:1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313</v>
      </c>
      <c r="DI1" s="2"/>
      <c r="DJ1" s="2"/>
      <c r="DK1" s="2"/>
      <c r="DL1" s="2"/>
      <c r="DM1" s="2"/>
      <c r="DN1" s="2"/>
      <c r="DO1" s="2"/>
      <c r="DP1" s="2"/>
      <c r="DQ1" s="2"/>
      <c r="DR1" s="2" t="s">
        <v>314</v>
      </c>
    </row>
    <row r="2" spans="1:122" x14ac:dyDescent="0.25">
      <c r="A2" t="s">
        <v>111</v>
      </c>
    </row>
    <row r="3" spans="1:122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22" x14ac:dyDescent="0.25">
      <c r="A4" t="s">
        <v>128</v>
      </c>
      <c r="W4" t="s">
        <v>117</v>
      </c>
      <c r="DH4" s="6" t="s">
        <v>22</v>
      </c>
      <c r="DM4">
        <v>0.56784000000000001</v>
      </c>
      <c r="DR4" s="7"/>
    </row>
    <row r="5" spans="1:122" x14ac:dyDescent="0.25">
      <c r="A5" t="s">
        <v>129</v>
      </c>
      <c r="AY5" t="s">
        <v>130</v>
      </c>
      <c r="DH5" s="1" t="s">
        <v>50</v>
      </c>
      <c r="DM5" s="3">
        <v>1.3610000000000001E-2</v>
      </c>
      <c r="DN5" s="3"/>
      <c r="DO5" s="3"/>
      <c r="DP5" s="3"/>
      <c r="DQ5" s="3"/>
      <c r="DR5">
        <f>DM5</f>
        <v>1.3610000000000001E-2</v>
      </c>
    </row>
    <row r="6" spans="1:122" s="5" customFormat="1" x14ac:dyDescent="0.25">
      <c r="A6" s="5" t="s">
        <v>131</v>
      </c>
      <c r="I6" s="5" t="s">
        <v>132</v>
      </c>
      <c r="J6" s="5" t="s">
        <v>133</v>
      </c>
      <c r="W6" s="5" t="s">
        <v>117</v>
      </c>
      <c r="CO6" s="5" t="s">
        <v>117</v>
      </c>
      <c r="CQ6" s="5" t="s">
        <v>117</v>
      </c>
      <c r="CR6" s="5" t="s">
        <v>133</v>
      </c>
      <c r="CS6" s="5" t="s">
        <v>120</v>
      </c>
      <c r="CU6" s="5" t="s">
        <v>120</v>
      </c>
      <c r="CV6" s="5" t="s">
        <v>132</v>
      </c>
      <c r="CX6" s="5" t="s">
        <v>117</v>
      </c>
      <c r="CY6" s="5" t="s">
        <v>134</v>
      </c>
      <c r="CZ6" s="5" t="s">
        <v>120</v>
      </c>
      <c r="DA6" s="5" t="s">
        <v>133</v>
      </c>
      <c r="DB6" s="5" t="s">
        <v>117</v>
      </c>
      <c r="DC6" s="5" t="s">
        <v>120</v>
      </c>
      <c r="DD6" s="5" t="s">
        <v>120</v>
      </c>
      <c r="DH6" s="5" t="s">
        <v>315</v>
      </c>
      <c r="DI6" s="5" t="s">
        <v>324</v>
      </c>
      <c r="DR6">
        <v>0</v>
      </c>
    </row>
    <row r="7" spans="1:122" x14ac:dyDescent="0.25">
      <c r="A7" t="s">
        <v>135</v>
      </c>
      <c r="DG7" t="s">
        <v>136</v>
      </c>
      <c r="DH7" s="12" t="s">
        <v>135</v>
      </c>
      <c r="DR7" s="12"/>
    </row>
    <row r="8" spans="1:122" x14ac:dyDescent="0.25">
      <c r="A8" t="s">
        <v>137</v>
      </c>
      <c r="Z8" t="s">
        <v>138</v>
      </c>
      <c r="DH8" t="s">
        <v>25</v>
      </c>
      <c r="DM8">
        <v>1.67E-3</v>
      </c>
      <c r="DR8">
        <f>DM8</f>
        <v>1.67E-3</v>
      </c>
    </row>
    <row r="9" spans="1:122" x14ac:dyDescent="0.25">
      <c r="A9" t="s">
        <v>140</v>
      </c>
      <c r="W9" t="s">
        <v>113</v>
      </c>
      <c r="AF9" t="s">
        <v>114</v>
      </c>
      <c r="DH9" t="s">
        <v>31</v>
      </c>
      <c r="DI9" s="7" t="s">
        <v>22</v>
      </c>
      <c r="DJ9" s="7"/>
      <c r="DK9" s="7"/>
      <c r="DL9" s="7"/>
      <c r="DM9">
        <v>0</v>
      </c>
      <c r="DR9">
        <f>DM9</f>
        <v>0</v>
      </c>
    </row>
    <row r="10" spans="1:122" x14ac:dyDescent="0.25">
      <c r="A10" t="s">
        <v>141</v>
      </c>
      <c r="BF10" t="s">
        <v>142</v>
      </c>
      <c r="DH10" t="s">
        <v>57</v>
      </c>
      <c r="DM10">
        <v>2.2120000000000001E-2</v>
      </c>
      <c r="DR10">
        <f>DM10</f>
        <v>2.2120000000000001E-2</v>
      </c>
    </row>
    <row r="11" spans="1:122" x14ac:dyDescent="0.25">
      <c r="A11" t="s">
        <v>143</v>
      </c>
      <c r="W11" t="s">
        <v>113</v>
      </c>
      <c r="DH11" s="6" t="s">
        <v>22</v>
      </c>
      <c r="DR11" s="7"/>
    </row>
    <row r="12" spans="1:122" x14ac:dyDescent="0.25">
      <c r="A12" t="s">
        <v>144</v>
      </c>
      <c r="W12" t="s">
        <v>113</v>
      </c>
      <c r="DH12" s="6" t="s">
        <v>22</v>
      </c>
      <c r="DR12" s="7"/>
    </row>
    <row r="13" spans="1:122" x14ac:dyDescent="0.25">
      <c r="A13" t="s">
        <v>145</v>
      </c>
      <c r="W13" t="s">
        <v>117</v>
      </c>
      <c r="DH13" s="6" t="s">
        <v>22</v>
      </c>
      <c r="DR13" s="7"/>
    </row>
    <row r="14" spans="1:122" x14ac:dyDescent="0.25">
      <c r="A14" t="s">
        <v>146</v>
      </c>
      <c r="DG14" t="s">
        <v>147</v>
      </c>
      <c r="DH14" s="15" t="s">
        <v>146</v>
      </c>
      <c r="DR14" s="12"/>
    </row>
    <row r="15" spans="1:122" x14ac:dyDescent="0.25">
      <c r="A15" t="s">
        <v>148</v>
      </c>
      <c r="W15" t="s">
        <v>113</v>
      </c>
      <c r="AF15" t="s">
        <v>116</v>
      </c>
      <c r="DH15" t="s">
        <v>31</v>
      </c>
      <c r="DI15" s="6" t="s">
        <v>22</v>
      </c>
      <c r="DJ15" s="6"/>
      <c r="DK15" s="6"/>
      <c r="DL15" s="6"/>
      <c r="DM15">
        <v>4.0000000000000003E-5</v>
      </c>
      <c r="DR15" s="16">
        <f>DM15</f>
        <v>4.0000000000000003E-5</v>
      </c>
    </row>
    <row r="16" spans="1:122" x14ac:dyDescent="0.25">
      <c r="A16" t="s">
        <v>149</v>
      </c>
      <c r="E16" t="s">
        <v>150</v>
      </c>
      <c r="DH16" t="s">
        <v>4</v>
      </c>
      <c r="DM16">
        <v>1.9000000000000001E-4</v>
      </c>
      <c r="DR16">
        <f>DM16</f>
        <v>1.9000000000000001E-4</v>
      </c>
    </row>
    <row r="17" spans="1:122" x14ac:dyDescent="0.25">
      <c r="A17" t="s">
        <v>151</v>
      </c>
      <c r="W17" t="s">
        <v>113</v>
      </c>
      <c r="DH17" s="6" t="s">
        <v>22</v>
      </c>
      <c r="DR17" s="7"/>
    </row>
    <row r="18" spans="1:122" x14ac:dyDescent="0.25">
      <c r="A18" t="s">
        <v>152</v>
      </c>
      <c r="CP18" t="s">
        <v>153</v>
      </c>
      <c r="DH18" t="s">
        <v>93</v>
      </c>
      <c r="DM18">
        <v>0</v>
      </c>
      <c r="DR18">
        <f>DM18</f>
        <v>0</v>
      </c>
    </row>
    <row r="19" spans="1:122" x14ac:dyDescent="0.25">
      <c r="A19" t="s">
        <v>154</v>
      </c>
      <c r="W19" t="s">
        <v>117</v>
      </c>
      <c r="DH19" s="6" t="s">
        <v>22</v>
      </c>
      <c r="DR19" s="7"/>
    </row>
    <row r="20" spans="1:122" x14ac:dyDescent="0.25">
      <c r="A20" t="s">
        <v>155</v>
      </c>
      <c r="W20" t="s">
        <v>113</v>
      </c>
      <c r="AO20" t="s">
        <v>156</v>
      </c>
      <c r="AP20" t="s">
        <v>114</v>
      </c>
      <c r="DH20" t="s">
        <v>40</v>
      </c>
      <c r="DI20" t="s">
        <v>41</v>
      </c>
      <c r="DJ20" s="6" t="s">
        <v>22</v>
      </c>
      <c r="DK20" s="6"/>
      <c r="DL20" s="6"/>
      <c r="DM20">
        <v>0</v>
      </c>
      <c r="DN20">
        <v>6.2599999999999999E-3</v>
      </c>
      <c r="DR20">
        <f>DM20*DN20</f>
        <v>0</v>
      </c>
    </row>
    <row r="21" spans="1:122" x14ac:dyDescent="0.25">
      <c r="A21" t="s">
        <v>157</v>
      </c>
      <c r="W21" t="s">
        <v>113</v>
      </c>
      <c r="BA21" t="s">
        <v>158</v>
      </c>
      <c r="DH21" t="s">
        <v>52</v>
      </c>
      <c r="DI21" s="6" t="s">
        <v>22</v>
      </c>
      <c r="DM21">
        <v>9.0000000000000006E-5</v>
      </c>
      <c r="DR21" s="16">
        <f>DM21</f>
        <v>9.0000000000000006E-5</v>
      </c>
    </row>
    <row r="22" spans="1:122" x14ac:dyDescent="0.25">
      <c r="A22" t="s">
        <v>161</v>
      </c>
      <c r="BI22" t="s">
        <v>113</v>
      </c>
      <c r="DH22" t="s">
        <v>60</v>
      </c>
      <c r="DM22">
        <v>0</v>
      </c>
      <c r="DR22">
        <f>DM22</f>
        <v>0</v>
      </c>
    </row>
    <row r="23" spans="1:122" x14ac:dyDescent="0.25">
      <c r="A23" t="s">
        <v>163</v>
      </c>
      <c r="BW23" t="s">
        <v>113</v>
      </c>
      <c r="DH23" s="4" t="s">
        <v>316</v>
      </c>
      <c r="DM23">
        <v>0</v>
      </c>
      <c r="DR23">
        <f>DM23</f>
        <v>0</v>
      </c>
    </row>
    <row r="24" spans="1:122" x14ac:dyDescent="0.25">
      <c r="A24" t="s">
        <v>164</v>
      </c>
      <c r="CD24" t="s">
        <v>116</v>
      </c>
      <c r="DH24" t="s">
        <v>81</v>
      </c>
      <c r="DM24">
        <v>1.7600000000000001E-3</v>
      </c>
      <c r="DR24">
        <f>DM24</f>
        <v>1.7600000000000001E-3</v>
      </c>
    </row>
    <row r="25" spans="1:122" x14ac:dyDescent="0.25">
      <c r="A25" t="s">
        <v>165</v>
      </c>
      <c r="W25" t="s">
        <v>113</v>
      </c>
      <c r="DH25" s="6" t="s">
        <v>22</v>
      </c>
      <c r="DR25" s="7"/>
    </row>
    <row r="26" spans="1:122" x14ac:dyDescent="0.25">
      <c r="A26" t="s">
        <v>166</v>
      </c>
      <c r="W26" t="s">
        <v>113</v>
      </c>
      <c r="DH26" s="6" t="s">
        <v>22</v>
      </c>
      <c r="DR26" s="7"/>
    </row>
    <row r="27" spans="1:122" x14ac:dyDescent="0.25">
      <c r="A27" t="s">
        <v>167</v>
      </c>
      <c r="W27" t="s">
        <v>113</v>
      </c>
      <c r="AG27" t="s">
        <v>168</v>
      </c>
      <c r="DH27" t="s">
        <v>32</v>
      </c>
      <c r="DI27" s="6" t="s">
        <v>22</v>
      </c>
      <c r="DM27">
        <v>0</v>
      </c>
      <c r="DR27">
        <f>DM27</f>
        <v>0</v>
      </c>
    </row>
    <row r="28" spans="1:122" x14ac:dyDescent="0.25">
      <c r="A28" t="s">
        <v>169</v>
      </c>
      <c r="W28" t="s">
        <v>113</v>
      </c>
      <c r="DH28" s="6" t="s">
        <v>22</v>
      </c>
      <c r="DR28" s="7"/>
    </row>
    <row r="29" spans="1:122" x14ac:dyDescent="0.25">
      <c r="A29" t="s">
        <v>170</v>
      </c>
      <c r="W29" t="s">
        <v>113</v>
      </c>
      <c r="CD29" t="s">
        <v>116</v>
      </c>
      <c r="DH29" t="s">
        <v>81</v>
      </c>
      <c r="DI29" s="6" t="s">
        <v>22</v>
      </c>
      <c r="DM29">
        <v>1.7600000000000001E-3</v>
      </c>
      <c r="DR29" s="16">
        <f>DM29</f>
        <v>1.7600000000000001E-3</v>
      </c>
    </row>
    <row r="30" spans="1:122" x14ac:dyDescent="0.25">
      <c r="A30" t="s">
        <v>173</v>
      </c>
      <c r="W30" t="s">
        <v>113</v>
      </c>
      <c r="DH30" s="6" t="s">
        <v>22</v>
      </c>
      <c r="DR30" s="7"/>
    </row>
    <row r="31" spans="1:122" s="5" customFormat="1" x14ac:dyDescent="0.25">
      <c r="A31" s="5" t="s">
        <v>174</v>
      </c>
      <c r="Q31" s="5" t="s">
        <v>175</v>
      </c>
      <c r="R31" s="5" t="s">
        <v>134</v>
      </c>
      <c r="W31" s="5" t="s">
        <v>113</v>
      </c>
      <c r="CO31" s="5" t="s">
        <v>113</v>
      </c>
      <c r="CQ31" s="5" t="s">
        <v>115</v>
      </c>
      <c r="CR31" s="5" t="s">
        <v>115</v>
      </c>
      <c r="CS31" s="5" t="s">
        <v>113</v>
      </c>
      <c r="CU31" s="5" t="s">
        <v>114</v>
      </c>
      <c r="CV31" s="5" t="s">
        <v>113</v>
      </c>
      <c r="CX31" s="5" t="s">
        <v>113</v>
      </c>
      <c r="CY31" s="5" t="s">
        <v>115</v>
      </c>
      <c r="CZ31" s="5" t="s">
        <v>113</v>
      </c>
      <c r="DA31" s="5" t="s">
        <v>116</v>
      </c>
      <c r="DB31" s="5" t="s">
        <v>115</v>
      </c>
      <c r="DC31" s="5" t="s">
        <v>113</v>
      </c>
      <c r="DD31" s="5" t="s">
        <v>114</v>
      </c>
      <c r="DH31" s="5" t="s">
        <v>324</v>
      </c>
      <c r="DR31">
        <v>0</v>
      </c>
    </row>
    <row r="32" spans="1:122" x14ac:dyDescent="0.25">
      <c r="A32" t="s">
        <v>176</v>
      </c>
      <c r="W32" t="s">
        <v>113</v>
      </c>
      <c r="DH32" s="6" t="s">
        <v>22</v>
      </c>
      <c r="DR32" s="7"/>
    </row>
    <row r="33" spans="1:122" x14ac:dyDescent="0.25">
      <c r="A33" t="s">
        <v>177</v>
      </c>
      <c r="BB33" t="s">
        <v>178</v>
      </c>
      <c r="DH33" t="s">
        <v>53</v>
      </c>
      <c r="DM33">
        <v>0</v>
      </c>
      <c r="DR33">
        <f>DM33</f>
        <v>0</v>
      </c>
    </row>
    <row r="34" spans="1:122" x14ac:dyDescent="0.25">
      <c r="A34" t="s">
        <v>179</v>
      </c>
      <c r="W34" t="s">
        <v>117</v>
      </c>
      <c r="DH34" s="6" t="s">
        <v>22</v>
      </c>
      <c r="DR34" s="7"/>
    </row>
    <row r="35" spans="1:122" x14ac:dyDescent="0.25">
      <c r="A35" t="s">
        <v>180</v>
      </c>
      <c r="W35" t="s">
        <v>113</v>
      </c>
      <c r="AG35" t="s">
        <v>181</v>
      </c>
      <c r="DH35" s="1" t="s">
        <v>32</v>
      </c>
      <c r="DI35" s="6" t="s">
        <v>22</v>
      </c>
      <c r="DM35">
        <v>0</v>
      </c>
      <c r="DR35">
        <f>DM35</f>
        <v>0</v>
      </c>
    </row>
    <row r="36" spans="1:122" x14ac:dyDescent="0.25">
      <c r="A36" t="s">
        <v>182</v>
      </c>
      <c r="W36" t="s">
        <v>113</v>
      </c>
      <c r="DH36" s="6" t="s">
        <v>22</v>
      </c>
      <c r="DR36" s="7"/>
    </row>
    <row r="37" spans="1:122" x14ac:dyDescent="0.25">
      <c r="A37" t="s">
        <v>183</v>
      </c>
      <c r="W37" t="s">
        <v>113</v>
      </c>
      <c r="BU37" t="s">
        <v>184</v>
      </c>
      <c r="DH37" t="s">
        <v>72</v>
      </c>
      <c r="DI37" s="6" t="s">
        <v>22</v>
      </c>
      <c r="DM37">
        <v>0</v>
      </c>
      <c r="DR37">
        <f>DM37</f>
        <v>0</v>
      </c>
    </row>
    <row r="38" spans="1:122" x14ac:dyDescent="0.25">
      <c r="A38" t="s">
        <v>187</v>
      </c>
      <c r="W38" t="s">
        <v>113</v>
      </c>
      <c r="DH38" s="6" t="s">
        <v>22</v>
      </c>
      <c r="DR38" s="7"/>
    </row>
    <row r="39" spans="1:122" x14ac:dyDescent="0.25">
      <c r="A39" t="s">
        <v>188</v>
      </c>
      <c r="W39" t="s">
        <v>113</v>
      </c>
      <c r="DH39" s="6" t="s">
        <v>22</v>
      </c>
      <c r="DR39" s="7"/>
    </row>
    <row r="40" spans="1:122" x14ac:dyDescent="0.25">
      <c r="A40" t="s">
        <v>189</v>
      </c>
      <c r="W40" t="s">
        <v>113</v>
      </c>
      <c r="DH40" s="6" t="s">
        <v>22</v>
      </c>
      <c r="DR40" s="7"/>
    </row>
    <row r="41" spans="1:122" x14ac:dyDescent="0.25">
      <c r="A41" t="s">
        <v>191</v>
      </c>
      <c r="Q41" t="s">
        <v>116</v>
      </c>
      <c r="W41" t="s">
        <v>113</v>
      </c>
      <c r="DH41" t="s">
        <v>16</v>
      </c>
      <c r="DI41" s="6" t="s">
        <v>22</v>
      </c>
      <c r="DM41">
        <v>2.5999999999999998E-4</v>
      </c>
      <c r="DR41" s="16">
        <f>DM41</f>
        <v>2.5999999999999998E-4</v>
      </c>
    </row>
    <row r="42" spans="1:122" x14ac:dyDescent="0.25">
      <c r="A42" t="s">
        <v>192</v>
      </c>
      <c r="AA42" t="s">
        <v>113</v>
      </c>
      <c r="DH42" t="s">
        <v>26</v>
      </c>
      <c r="DM42">
        <v>0</v>
      </c>
      <c r="DR42">
        <f>DM42</f>
        <v>0</v>
      </c>
    </row>
    <row r="43" spans="1:122" x14ac:dyDescent="0.25">
      <c r="A43" t="s">
        <v>193</v>
      </c>
      <c r="W43" t="s">
        <v>113</v>
      </c>
      <c r="DH43" s="6" t="s">
        <v>22</v>
      </c>
      <c r="DR43" s="7"/>
    </row>
    <row r="44" spans="1:122" x14ac:dyDescent="0.25">
      <c r="A44" t="s">
        <v>194</v>
      </c>
      <c r="W44" t="s">
        <v>113</v>
      </c>
      <c r="CF44" t="s">
        <v>116</v>
      </c>
      <c r="DH44" t="s">
        <v>83</v>
      </c>
      <c r="DI44" s="6" t="s">
        <v>22</v>
      </c>
      <c r="DM44">
        <v>9.7E-5</v>
      </c>
      <c r="DR44" s="16">
        <f>DM44</f>
        <v>9.7E-5</v>
      </c>
    </row>
    <row r="45" spans="1:122" x14ac:dyDescent="0.25">
      <c r="A45" t="s">
        <v>195</v>
      </c>
      <c r="Q45" t="s">
        <v>116</v>
      </c>
      <c r="R45" t="s">
        <v>114</v>
      </c>
      <c r="DH45" s="1" t="s">
        <v>16</v>
      </c>
      <c r="DI45" s="1" t="s">
        <v>17</v>
      </c>
      <c r="DM45">
        <v>2.5999999999999998E-4</v>
      </c>
      <c r="DN45">
        <v>0.31802000000000002</v>
      </c>
      <c r="DR45">
        <f>DM45*DN45</f>
        <v>8.2685199999999999E-5</v>
      </c>
    </row>
    <row r="46" spans="1:122" x14ac:dyDescent="0.25">
      <c r="A46" t="s">
        <v>196</v>
      </c>
      <c r="W46" t="s">
        <v>113</v>
      </c>
      <c r="DH46" s="6" t="s">
        <v>22</v>
      </c>
      <c r="DR46" s="7"/>
    </row>
    <row r="47" spans="1:122" x14ac:dyDescent="0.25">
      <c r="A47" t="s">
        <v>197</v>
      </c>
      <c r="W47" t="s">
        <v>113</v>
      </c>
      <c r="CC47" t="s">
        <v>113</v>
      </c>
      <c r="DH47" t="s">
        <v>80</v>
      </c>
      <c r="DI47" s="6" t="s">
        <v>22</v>
      </c>
      <c r="DM47">
        <v>0</v>
      </c>
      <c r="DR47">
        <f>DM47</f>
        <v>0</v>
      </c>
    </row>
    <row r="48" spans="1:122" x14ac:dyDescent="0.25">
      <c r="A48" t="s">
        <v>198</v>
      </c>
      <c r="W48" t="s">
        <v>113</v>
      </c>
      <c r="DH48" s="6" t="s">
        <v>22</v>
      </c>
      <c r="DR48" s="7"/>
    </row>
    <row r="49" spans="1:122" x14ac:dyDescent="0.25">
      <c r="A49" t="s">
        <v>199</v>
      </c>
      <c r="W49" t="s">
        <v>113</v>
      </c>
      <c r="AG49" t="s">
        <v>168</v>
      </c>
      <c r="DH49" t="s">
        <v>32</v>
      </c>
      <c r="DI49" s="6" t="s">
        <v>22</v>
      </c>
      <c r="DM49">
        <v>0</v>
      </c>
      <c r="DR49">
        <f>DM49</f>
        <v>0</v>
      </c>
    </row>
    <row r="50" spans="1:122" x14ac:dyDescent="0.25">
      <c r="A50" t="s">
        <v>200</v>
      </c>
      <c r="W50" t="s">
        <v>113</v>
      </c>
      <c r="DH50" s="6" t="s">
        <v>22</v>
      </c>
      <c r="DR50" s="7"/>
    </row>
    <row r="51" spans="1:122" x14ac:dyDescent="0.25">
      <c r="A51" t="s">
        <v>201</v>
      </c>
      <c r="AJ51" t="s">
        <v>202</v>
      </c>
      <c r="DH51" s="9" t="s">
        <v>317</v>
      </c>
      <c r="DR51" s="9"/>
    </row>
    <row r="52" spans="1:122" x14ac:dyDescent="0.25">
      <c r="A52" t="s">
        <v>203</v>
      </c>
      <c r="DG52" t="s">
        <v>204</v>
      </c>
      <c r="DH52" s="12" t="s">
        <v>203</v>
      </c>
      <c r="DR52" s="12"/>
    </row>
    <row r="53" spans="1:122" x14ac:dyDescent="0.25">
      <c r="A53" t="s">
        <v>205</v>
      </c>
      <c r="CI53" t="s">
        <v>114</v>
      </c>
      <c r="DH53" t="s">
        <v>86</v>
      </c>
      <c r="DM53">
        <v>4.4000000000000002E-4</v>
      </c>
      <c r="DR53">
        <f>DM53</f>
        <v>4.4000000000000002E-4</v>
      </c>
    </row>
    <row r="54" spans="1:122" x14ac:dyDescent="0.25">
      <c r="A54" t="s">
        <v>206</v>
      </c>
      <c r="DG54" t="s">
        <v>204</v>
      </c>
      <c r="DH54" s="12" t="s">
        <v>206</v>
      </c>
      <c r="DR54" s="12"/>
    </row>
    <row r="55" spans="1:122" x14ac:dyDescent="0.25">
      <c r="A55" t="s">
        <v>207</v>
      </c>
      <c r="W55" t="s">
        <v>113</v>
      </c>
      <c r="DH55" s="6" t="s">
        <v>22</v>
      </c>
      <c r="DR55" s="7"/>
    </row>
    <row r="56" spans="1:122" x14ac:dyDescent="0.25">
      <c r="A56" t="s">
        <v>208</v>
      </c>
      <c r="W56" t="s">
        <v>113</v>
      </c>
      <c r="DH56" s="6" t="s">
        <v>22</v>
      </c>
      <c r="DR56" s="7"/>
    </row>
    <row r="57" spans="1:122" x14ac:dyDescent="0.25">
      <c r="A57" t="s">
        <v>209</v>
      </c>
      <c r="DG57" t="s">
        <v>204</v>
      </c>
      <c r="DH57" s="12" t="s">
        <v>209</v>
      </c>
      <c r="DR57" s="12"/>
    </row>
    <row r="58" spans="1:122" x14ac:dyDescent="0.25">
      <c r="A58" t="s">
        <v>210</v>
      </c>
      <c r="W58" t="s">
        <v>113</v>
      </c>
      <c r="DH58" s="6" t="s">
        <v>22</v>
      </c>
      <c r="DR58" s="7"/>
    </row>
    <row r="59" spans="1:122" x14ac:dyDescent="0.25">
      <c r="A59" t="s">
        <v>211</v>
      </c>
      <c r="W59" t="s">
        <v>113</v>
      </c>
      <c r="DH59" s="6" t="s">
        <v>22</v>
      </c>
      <c r="DR59" s="7"/>
    </row>
    <row r="60" spans="1:122" x14ac:dyDescent="0.25">
      <c r="A60" t="s">
        <v>213</v>
      </c>
      <c r="W60" t="s">
        <v>113</v>
      </c>
      <c r="BY60" t="s">
        <v>116</v>
      </c>
      <c r="DH60" t="s">
        <v>76</v>
      </c>
      <c r="DI60" s="6" t="s">
        <v>22</v>
      </c>
      <c r="DM60">
        <v>3.4000000000000002E-4</v>
      </c>
      <c r="DR60" s="16">
        <f>DM60</f>
        <v>3.4000000000000002E-4</v>
      </c>
    </row>
    <row r="61" spans="1:122" x14ac:dyDescent="0.25">
      <c r="A61" t="s">
        <v>214</v>
      </c>
      <c r="W61" t="s">
        <v>113</v>
      </c>
      <c r="DH61" s="6" t="s">
        <v>22</v>
      </c>
      <c r="DR61" s="7"/>
    </row>
    <row r="62" spans="1:122" x14ac:dyDescent="0.25">
      <c r="A62" t="s">
        <v>215</v>
      </c>
      <c r="I62" t="s">
        <v>116</v>
      </c>
      <c r="DH62" s="13" t="s">
        <v>8</v>
      </c>
      <c r="DM62">
        <v>0.18057999999999999</v>
      </c>
      <c r="DR62" s="17">
        <f>DM62</f>
        <v>0.18057999999999999</v>
      </c>
    </row>
    <row r="63" spans="1:122" x14ac:dyDescent="0.25">
      <c r="A63" t="s">
        <v>217</v>
      </c>
      <c r="BD63" t="s">
        <v>116</v>
      </c>
      <c r="BE63" t="s">
        <v>116</v>
      </c>
      <c r="DH63" s="1" t="s">
        <v>55</v>
      </c>
      <c r="DI63" s="1" t="s">
        <v>56</v>
      </c>
      <c r="DM63">
        <v>1.2E-4</v>
      </c>
      <c r="DN63" s="3">
        <v>5.0000000000000002E-5</v>
      </c>
      <c r="DO63" s="3"/>
      <c r="DR63">
        <f>DM63*DN63</f>
        <v>6.0000000000000008E-9</v>
      </c>
    </row>
    <row r="64" spans="1:122" x14ac:dyDescent="0.25">
      <c r="A64" t="s">
        <v>218</v>
      </c>
      <c r="I64" t="s">
        <v>116</v>
      </c>
      <c r="J64" t="s">
        <v>115</v>
      </c>
      <c r="K64" t="s">
        <v>113</v>
      </c>
      <c r="L64" t="s">
        <v>114</v>
      </c>
      <c r="M64" t="s">
        <v>115</v>
      </c>
      <c r="DH64" s="1" t="s">
        <v>8</v>
      </c>
      <c r="DI64" s="1" t="s">
        <v>9</v>
      </c>
      <c r="DJ64" s="1" t="s">
        <v>10</v>
      </c>
      <c r="DK64" s="1" t="s">
        <v>11</v>
      </c>
      <c r="DL64" s="1" t="s">
        <v>12</v>
      </c>
      <c r="DM64">
        <v>0.18057999999999999</v>
      </c>
      <c r="DN64">
        <v>0.11741</v>
      </c>
      <c r="DO64">
        <v>4.8000000000000001E-4</v>
      </c>
      <c r="DP64">
        <v>4.0000000000000003E-5</v>
      </c>
      <c r="DQ64">
        <v>3.0000000000000001E-5</v>
      </c>
      <c r="DR64">
        <f>DM64*DN64*DO64*DP64*DQ64</f>
        <v>1.2212293132800002E-14</v>
      </c>
    </row>
    <row r="65" spans="1:122" s="5" customFormat="1" x14ac:dyDescent="0.25">
      <c r="A65" s="5" t="s">
        <v>219</v>
      </c>
      <c r="CO65" s="5" t="s">
        <v>113</v>
      </c>
      <c r="CQ65" s="5" t="s">
        <v>115</v>
      </c>
      <c r="CR65" s="5" t="s">
        <v>115</v>
      </c>
      <c r="CS65" s="5" t="s">
        <v>113</v>
      </c>
      <c r="CU65" s="5" t="s">
        <v>114</v>
      </c>
      <c r="CV65" s="5" t="s">
        <v>113</v>
      </c>
      <c r="CX65" s="5" t="s">
        <v>113</v>
      </c>
      <c r="CY65" s="5" t="s">
        <v>115</v>
      </c>
      <c r="CZ65" s="5" t="s">
        <v>113</v>
      </c>
      <c r="DA65" s="5" t="s">
        <v>116</v>
      </c>
      <c r="DB65" s="5" t="s">
        <v>115</v>
      </c>
      <c r="DC65" s="5" t="s">
        <v>113</v>
      </c>
      <c r="DD65" s="5" t="s">
        <v>114</v>
      </c>
      <c r="DH65" s="5" t="s">
        <v>324</v>
      </c>
      <c r="DR65">
        <v>0</v>
      </c>
    </row>
    <row r="66" spans="1:122" x14ac:dyDescent="0.25">
      <c r="A66" t="s">
        <v>220</v>
      </c>
      <c r="W66" t="s">
        <v>113</v>
      </c>
      <c r="AZ66" t="s">
        <v>116</v>
      </c>
      <c r="DH66" t="s">
        <v>51</v>
      </c>
      <c r="DI66" s="6" t="s">
        <v>22</v>
      </c>
      <c r="DM66">
        <v>0</v>
      </c>
      <c r="DR66">
        <f>DM66</f>
        <v>0</v>
      </c>
    </row>
    <row r="67" spans="1:122" x14ac:dyDescent="0.25">
      <c r="A67" t="s">
        <v>221</v>
      </c>
      <c r="W67" t="s">
        <v>113</v>
      </c>
      <c r="CW67" t="s">
        <v>115</v>
      </c>
      <c r="DH67" s="9" t="s">
        <v>100</v>
      </c>
      <c r="DI67" s="6" t="s">
        <v>22</v>
      </c>
      <c r="DR67" s="9"/>
    </row>
    <row r="68" spans="1:122" x14ac:dyDescent="0.25">
      <c r="A68" t="s">
        <v>222</v>
      </c>
      <c r="BD68" t="s">
        <v>116</v>
      </c>
      <c r="BE68" t="s">
        <v>116</v>
      </c>
      <c r="DH68" s="1" t="s">
        <v>55</v>
      </c>
      <c r="DI68" s="1" t="s">
        <v>56</v>
      </c>
      <c r="DM68">
        <v>1.2E-4</v>
      </c>
      <c r="DN68">
        <v>5.0000000000000002E-5</v>
      </c>
      <c r="DR68">
        <f>DM68*DN68</f>
        <v>6.0000000000000008E-9</v>
      </c>
    </row>
    <row r="69" spans="1:122" x14ac:dyDescent="0.25">
      <c r="A69" t="s">
        <v>223</v>
      </c>
      <c r="B69" t="s">
        <v>114</v>
      </c>
      <c r="W69" t="s">
        <v>113</v>
      </c>
      <c r="DH69" t="s">
        <v>1</v>
      </c>
      <c r="DI69" s="6" t="s">
        <v>22</v>
      </c>
      <c r="DM69">
        <v>0</v>
      </c>
      <c r="DR69">
        <f t="shared" ref="DR69:DR74" si="0">DM69</f>
        <v>0</v>
      </c>
    </row>
    <row r="70" spans="1:122" x14ac:dyDescent="0.25">
      <c r="A70" t="s">
        <v>224</v>
      </c>
      <c r="K70" t="s">
        <v>113</v>
      </c>
      <c r="W70" t="s">
        <v>113</v>
      </c>
      <c r="DH70" t="s">
        <v>10</v>
      </c>
      <c r="DI70" s="6" t="s">
        <v>22</v>
      </c>
      <c r="DM70">
        <v>4.8000000000000001E-4</v>
      </c>
      <c r="DR70" s="16">
        <f t="shared" si="0"/>
        <v>4.8000000000000001E-4</v>
      </c>
    </row>
    <row r="71" spans="1:122" x14ac:dyDescent="0.25">
      <c r="A71" t="s">
        <v>225</v>
      </c>
      <c r="X71" t="s">
        <v>113</v>
      </c>
      <c r="DH71" s="1" t="s">
        <v>23</v>
      </c>
      <c r="DI71" s="1"/>
      <c r="DM71">
        <v>2.3000000000000001E-4</v>
      </c>
      <c r="DR71">
        <f t="shared" si="0"/>
        <v>2.3000000000000001E-4</v>
      </c>
    </row>
    <row r="72" spans="1:122" x14ac:dyDescent="0.25">
      <c r="A72" t="s">
        <v>226</v>
      </c>
      <c r="Y72" t="s">
        <v>115</v>
      </c>
      <c r="DH72" s="1" t="s">
        <v>24</v>
      </c>
      <c r="DM72">
        <v>0</v>
      </c>
      <c r="DR72">
        <f t="shared" si="0"/>
        <v>0</v>
      </c>
    </row>
    <row r="73" spans="1:122" x14ac:dyDescent="0.25">
      <c r="A73" t="s">
        <v>227</v>
      </c>
      <c r="AB73" t="s">
        <v>113</v>
      </c>
      <c r="DH73" s="4" t="s">
        <v>318</v>
      </c>
      <c r="DM73">
        <v>1.699E-6</v>
      </c>
      <c r="DR73">
        <f t="shared" si="0"/>
        <v>1.699E-6</v>
      </c>
    </row>
    <row r="74" spans="1:122" x14ac:dyDescent="0.25">
      <c r="A74" t="s">
        <v>228</v>
      </c>
      <c r="AR74" t="s">
        <v>229</v>
      </c>
      <c r="DH74" s="4" t="s">
        <v>319</v>
      </c>
      <c r="DM74">
        <v>0</v>
      </c>
      <c r="DR74">
        <f t="shared" si="0"/>
        <v>0</v>
      </c>
    </row>
    <row r="75" spans="1:122" x14ac:dyDescent="0.25">
      <c r="A75" t="s">
        <v>230</v>
      </c>
      <c r="AX75" t="s">
        <v>113</v>
      </c>
      <c r="DH75" s="9" t="s">
        <v>49</v>
      </c>
      <c r="DR75" s="9"/>
    </row>
    <row r="76" spans="1:122" x14ac:dyDescent="0.25">
      <c r="A76" t="s">
        <v>231</v>
      </c>
      <c r="W76" t="s">
        <v>113</v>
      </c>
      <c r="BO76" t="s">
        <v>115</v>
      </c>
      <c r="DH76" t="s">
        <v>66</v>
      </c>
      <c r="DI76" s="6" t="s">
        <v>22</v>
      </c>
      <c r="DM76">
        <v>0</v>
      </c>
      <c r="DR76">
        <f>DM76</f>
        <v>0</v>
      </c>
    </row>
    <row r="77" spans="1:122" x14ac:dyDescent="0.25">
      <c r="A77" t="s">
        <v>232</v>
      </c>
      <c r="W77" t="s">
        <v>113</v>
      </c>
      <c r="BZ77" t="s">
        <v>116</v>
      </c>
      <c r="DH77" t="s">
        <v>77</v>
      </c>
      <c r="DI77" s="6" t="s">
        <v>22</v>
      </c>
      <c r="DM77">
        <v>1.1E-4</v>
      </c>
      <c r="DR77" s="16">
        <f>DM77</f>
        <v>1.1E-4</v>
      </c>
    </row>
    <row r="78" spans="1:122" x14ac:dyDescent="0.25">
      <c r="A78" t="s">
        <v>233</v>
      </c>
      <c r="CG78" t="s">
        <v>114</v>
      </c>
      <c r="DH78" t="s">
        <v>84</v>
      </c>
      <c r="DM78">
        <v>0</v>
      </c>
      <c r="DR78">
        <f>DM78</f>
        <v>0</v>
      </c>
    </row>
    <row r="79" spans="1:122" x14ac:dyDescent="0.25">
      <c r="A79" t="s">
        <v>234</v>
      </c>
      <c r="CM79" t="s">
        <v>116</v>
      </c>
      <c r="DH79" s="9" t="s">
        <v>90</v>
      </c>
      <c r="DR79" s="9"/>
    </row>
    <row r="80" spans="1:122" x14ac:dyDescent="0.25">
      <c r="A80" t="s">
        <v>235</v>
      </c>
      <c r="W80" t="s">
        <v>113</v>
      </c>
      <c r="CN80" t="s">
        <v>115</v>
      </c>
      <c r="DH80" s="9" t="s">
        <v>91</v>
      </c>
      <c r="DI80" s="6" t="s">
        <v>22</v>
      </c>
      <c r="DR80" s="9"/>
    </row>
    <row r="81" spans="1:122" x14ac:dyDescent="0.25">
      <c r="A81" t="s">
        <v>236</v>
      </c>
      <c r="H81" t="s">
        <v>113</v>
      </c>
      <c r="W81" t="s">
        <v>113</v>
      </c>
      <c r="DH81" t="s">
        <v>7</v>
      </c>
      <c r="DI81" s="6" t="s">
        <v>22</v>
      </c>
      <c r="DM81">
        <v>0</v>
      </c>
      <c r="DR81">
        <f>DM81</f>
        <v>0</v>
      </c>
    </row>
    <row r="82" spans="1:122" x14ac:dyDescent="0.25">
      <c r="A82" t="s">
        <v>237</v>
      </c>
      <c r="W82" t="s">
        <v>113</v>
      </c>
      <c r="BH82" t="s">
        <v>229</v>
      </c>
      <c r="DH82" t="s">
        <v>59</v>
      </c>
      <c r="DI82" s="6" t="s">
        <v>22</v>
      </c>
      <c r="DM82">
        <v>0</v>
      </c>
      <c r="DR82">
        <f>DM82</f>
        <v>0</v>
      </c>
    </row>
    <row r="83" spans="1:122" x14ac:dyDescent="0.25">
      <c r="A83" t="s">
        <v>238</v>
      </c>
      <c r="W83" t="s">
        <v>113</v>
      </c>
      <c r="BL83" t="s">
        <v>239</v>
      </c>
      <c r="DH83" t="s">
        <v>63</v>
      </c>
      <c r="DI83" s="6" t="s">
        <v>22</v>
      </c>
      <c r="DM83">
        <v>0</v>
      </c>
      <c r="DR83">
        <f>DM83</f>
        <v>0</v>
      </c>
    </row>
    <row r="84" spans="1:122" x14ac:dyDescent="0.25">
      <c r="A84" t="s">
        <v>240</v>
      </c>
      <c r="W84" t="s">
        <v>113</v>
      </c>
      <c r="DH84" s="6" t="s">
        <v>22</v>
      </c>
      <c r="DI84" s="8"/>
      <c r="DR84" s="7"/>
    </row>
    <row r="85" spans="1:122" x14ac:dyDescent="0.25">
      <c r="A85" t="s">
        <v>241</v>
      </c>
      <c r="W85" t="s">
        <v>113</v>
      </c>
      <c r="DH85" s="6" t="s">
        <v>22</v>
      </c>
      <c r="DR85" s="7"/>
    </row>
    <row r="86" spans="1:122" x14ac:dyDescent="0.25">
      <c r="A86" t="s">
        <v>242</v>
      </c>
      <c r="W86" t="s">
        <v>113</v>
      </c>
      <c r="AA86" t="s">
        <v>114</v>
      </c>
      <c r="DH86" t="s">
        <v>26</v>
      </c>
      <c r="DI86" s="6" t="s">
        <v>22</v>
      </c>
      <c r="DM86">
        <v>0</v>
      </c>
      <c r="DR86">
        <f>DM86</f>
        <v>0</v>
      </c>
    </row>
    <row r="87" spans="1:122" x14ac:dyDescent="0.25">
      <c r="A87" t="s">
        <v>243</v>
      </c>
      <c r="W87" t="s">
        <v>113</v>
      </c>
      <c r="BV87" t="s">
        <v>113</v>
      </c>
      <c r="DH87" t="s">
        <v>73</v>
      </c>
      <c r="DI87" s="6" t="s">
        <v>22</v>
      </c>
      <c r="DM87">
        <v>0</v>
      </c>
      <c r="DR87">
        <f>DM87</f>
        <v>0</v>
      </c>
    </row>
    <row r="88" spans="1:122" x14ac:dyDescent="0.25">
      <c r="A88" t="s">
        <v>244</v>
      </c>
      <c r="CF88" t="s">
        <v>116</v>
      </c>
      <c r="DH88" t="s">
        <v>83</v>
      </c>
      <c r="DM88">
        <v>9.7E-5</v>
      </c>
      <c r="DR88">
        <f>DM88</f>
        <v>9.7E-5</v>
      </c>
    </row>
    <row r="89" spans="1:122" x14ac:dyDescent="0.25">
      <c r="A89" t="s">
        <v>246</v>
      </c>
      <c r="BS89" t="s">
        <v>115</v>
      </c>
      <c r="BT89" t="s">
        <v>115</v>
      </c>
      <c r="DH89" s="1" t="s">
        <v>70</v>
      </c>
      <c r="DI89" s="1" t="s">
        <v>71</v>
      </c>
      <c r="DM89">
        <v>2.0500000000000002E-3</v>
      </c>
      <c r="DN89">
        <v>5.28E-3</v>
      </c>
      <c r="DR89">
        <f>DM89*DN89</f>
        <v>1.0824E-5</v>
      </c>
    </row>
    <row r="90" spans="1:122" x14ac:dyDescent="0.25">
      <c r="A90" t="s">
        <v>247</v>
      </c>
      <c r="BF90" t="s">
        <v>142</v>
      </c>
      <c r="DH90" t="s">
        <v>57</v>
      </c>
      <c r="DM90" s="3">
        <v>2.2120000000000001E-2</v>
      </c>
      <c r="DN90" s="3"/>
      <c r="DR90">
        <f t="shared" ref="DR90:DR95" si="1">DM90</f>
        <v>2.2120000000000001E-2</v>
      </c>
    </row>
    <row r="91" spans="1:122" x14ac:dyDescent="0.25">
      <c r="A91" t="s">
        <v>248</v>
      </c>
      <c r="CJ91" t="s">
        <v>116</v>
      </c>
      <c r="DH91" t="s">
        <v>87</v>
      </c>
      <c r="DM91">
        <v>4.0000000000000003E-5</v>
      </c>
      <c r="DR91">
        <f t="shared" si="1"/>
        <v>4.0000000000000003E-5</v>
      </c>
    </row>
    <row r="92" spans="1:122" x14ac:dyDescent="0.25">
      <c r="A92" t="s">
        <v>249</v>
      </c>
      <c r="N92" t="s">
        <v>116</v>
      </c>
      <c r="W92" t="s">
        <v>113</v>
      </c>
      <c r="DH92" t="s">
        <v>13</v>
      </c>
      <c r="DI92" s="6" t="s">
        <v>22</v>
      </c>
      <c r="DM92">
        <v>0</v>
      </c>
      <c r="DR92">
        <f t="shared" si="1"/>
        <v>0</v>
      </c>
    </row>
    <row r="93" spans="1:122" x14ac:dyDescent="0.25">
      <c r="A93" t="s">
        <v>250</v>
      </c>
      <c r="DE93" t="s">
        <v>114</v>
      </c>
      <c r="DH93" t="s">
        <v>108</v>
      </c>
      <c r="DM93">
        <v>6.0000000000000002E-5</v>
      </c>
      <c r="DR93">
        <f t="shared" si="1"/>
        <v>6.0000000000000002E-5</v>
      </c>
    </row>
    <row r="94" spans="1:122" x14ac:dyDescent="0.25">
      <c r="A94" t="s">
        <v>251</v>
      </c>
      <c r="CH94" t="s">
        <v>116</v>
      </c>
      <c r="DH94" t="s">
        <v>85</v>
      </c>
      <c r="DM94">
        <v>6.0000000000000002E-5</v>
      </c>
      <c r="DR94">
        <f t="shared" si="1"/>
        <v>6.0000000000000002E-5</v>
      </c>
    </row>
    <row r="95" spans="1:122" x14ac:dyDescent="0.25">
      <c r="A95" t="s">
        <v>252</v>
      </c>
      <c r="AF95" t="s">
        <v>116</v>
      </c>
      <c r="DH95" t="s">
        <v>31</v>
      </c>
      <c r="DM95">
        <v>4.0000000000000003E-5</v>
      </c>
      <c r="DR95">
        <f t="shared" si="1"/>
        <v>4.0000000000000003E-5</v>
      </c>
    </row>
    <row r="96" spans="1:122" x14ac:dyDescent="0.25">
      <c r="A96" t="s">
        <v>253</v>
      </c>
      <c r="BF96" t="s">
        <v>142</v>
      </c>
      <c r="BG96" t="s">
        <v>115</v>
      </c>
      <c r="DH96" s="1" t="s">
        <v>57</v>
      </c>
      <c r="DI96" s="1" t="s">
        <v>58</v>
      </c>
      <c r="DM96">
        <v>2.2120000000000001E-2</v>
      </c>
      <c r="DN96">
        <v>2.2000000000000001E-4</v>
      </c>
      <c r="DR96">
        <f>DM96*DN96</f>
        <v>4.8664000000000005E-6</v>
      </c>
    </row>
    <row r="97" spans="1:122" x14ac:dyDescent="0.25">
      <c r="A97" t="s">
        <v>254</v>
      </c>
      <c r="BM97" t="s">
        <v>113</v>
      </c>
      <c r="DH97" s="1" t="s">
        <v>64</v>
      </c>
      <c r="DI97" s="1"/>
      <c r="DM97">
        <v>4.2999999999999999E-4</v>
      </c>
      <c r="DR97">
        <f>DM97</f>
        <v>4.2999999999999999E-4</v>
      </c>
    </row>
    <row r="98" spans="1:122" x14ac:dyDescent="0.25">
      <c r="A98" t="s">
        <v>255</v>
      </c>
      <c r="W98" t="s">
        <v>113</v>
      </c>
      <c r="BN98" t="s">
        <v>116</v>
      </c>
      <c r="DH98" s="1" t="s">
        <v>65</v>
      </c>
      <c r="DI98" s="6" t="s">
        <v>22</v>
      </c>
      <c r="DM98">
        <v>1.0499999999999999E-3</v>
      </c>
      <c r="DR98" s="16">
        <f>DM98</f>
        <v>1.0499999999999999E-3</v>
      </c>
    </row>
    <row r="99" spans="1:122" x14ac:dyDescent="0.25">
      <c r="A99" t="s">
        <v>256</v>
      </c>
      <c r="BK99" t="s">
        <v>115</v>
      </c>
      <c r="DH99" s="9" t="s">
        <v>62</v>
      </c>
      <c r="DR99" s="9"/>
    </row>
    <row r="100" spans="1:122" x14ac:dyDescent="0.25">
      <c r="A100" t="s">
        <v>258</v>
      </c>
      <c r="C100" t="s">
        <v>229</v>
      </c>
      <c r="DH100" s="9" t="s">
        <v>2</v>
      </c>
      <c r="DR100" s="9"/>
    </row>
    <row r="101" spans="1:122" x14ac:dyDescent="0.25">
      <c r="A101" t="s">
        <v>259</v>
      </c>
      <c r="W101" t="s">
        <v>113</v>
      </c>
      <c r="AD101" t="s">
        <v>116</v>
      </c>
      <c r="AE101" t="s">
        <v>115</v>
      </c>
      <c r="DH101" s="1" t="s">
        <v>29</v>
      </c>
      <c r="DI101" s="1" t="s">
        <v>30</v>
      </c>
      <c r="DJ101" s="6" t="s">
        <v>22</v>
      </c>
      <c r="DK101" s="6"/>
      <c r="DL101" s="6"/>
      <c r="DM101">
        <v>1.6000000000000001E-3</v>
      </c>
      <c r="DN101">
        <v>1.7099999999999999E-3</v>
      </c>
      <c r="DR101" s="16">
        <f>DM101*DN101</f>
        <v>2.7360000000000001E-6</v>
      </c>
    </row>
    <row r="102" spans="1:122" x14ac:dyDescent="0.25">
      <c r="A102" t="s">
        <v>260</v>
      </c>
      <c r="BX102" t="s">
        <v>116</v>
      </c>
      <c r="DH102" t="s">
        <v>75</v>
      </c>
      <c r="DM102">
        <v>2.0559999999999998E-2</v>
      </c>
      <c r="DR102">
        <f>DM102</f>
        <v>2.0559999999999998E-2</v>
      </c>
    </row>
    <row r="103" spans="1:122" x14ac:dyDescent="0.25">
      <c r="A103" t="s">
        <v>261</v>
      </c>
      <c r="W103" t="s">
        <v>113</v>
      </c>
      <c r="BJ103" t="s">
        <v>113</v>
      </c>
      <c r="DH103" t="s">
        <v>61</v>
      </c>
      <c r="DI103" s="6" t="s">
        <v>22</v>
      </c>
      <c r="DM103">
        <v>0</v>
      </c>
      <c r="DR103">
        <f>DM103</f>
        <v>0</v>
      </c>
    </row>
    <row r="104" spans="1:122" x14ac:dyDescent="0.25">
      <c r="A104" t="s">
        <v>262</v>
      </c>
      <c r="AP104" t="s">
        <v>120</v>
      </c>
      <c r="CA104" t="s">
        <v>263</v>
      </c>
      <c r="DH104" t="s">
        <v>41</v>
      </c>
      <c r="DI104" t="s">
        <v>78</v>
      </c>
      <c r="DM104" s="3">
        <v>6.2599999999999999E-3</v>
      </c>
      <c r="DN104">
        <v>2.7999999999999998E-4</v>
      </c>
      <c r="DR104">
        <f>DM104*DN104</f>
        <v>1.7527999999999998E-6</v>
      </c>
    </row>
    <row r="105" spans="1:122" x14ac:dyDescent="0.25">
      <c r="A105" t="s">
        <v>264</v>
      </c>
      <c r="W105" t="s">
        <v>113</v>
      </c>
      <c r="CK105" t="s">
        <v>116</v>
      </c>
      <c r="DH105" t="s">
        <v>88</v>
      </c>
      <c r="DI105" s="6" t="s">
        <v>22</v>
      </c>
      <c r="DM105">
        <v>1.2999999999999999E-4</v>
      </c>
      <c r="DR105" s="16">
        <f>DM105</f>
        <v>1.2999999999999999E-4</v>
      </c>
    </row>
    <row r="106" spans="1:122" x14ac:dyDescent="0.25">
      <c r="A106" t="s">
        <v>265</v>
      </c>
      <c r="V106" t="s">
        <v>114</v>
      </c>
      <c r="W106" t="s">
        <v>113</v>
      </c>
      <c r="DH106" t="s">
        <v>21</v>
      </c>
      <c r="DI106" s="6" t="s">
        <v>22</v>
      </c>
      <c r="DM106">
        <v>1.4999999999999999E-4</v>
      </c>
      <c r="DR106" s="16">
        <f>DM106</f>
        <v>1.4999999999999999E-4</v>
      </c>
    </row>
    <row r="107" spans="1:122" x14ac:dyDescent="0.25">
      <c r="A107" t="s">
        <v>266</v>
      </c>
      <c r="BT107" t="s">
        <v>115</v>
      </c>
      <c r="DH107" t="s">
        <v>71</v>
      </c>
      <c r="DM107">
        <v>5.28E-3</v>
      </c>
      <c r="DR107">
        <f>DM107</f>
        <v>5.28E-3</v>
      </c>
    </row>
    <row r="108" spans="1:122" x14ac:dyDescent="0.25">
      <c r="A108" t="s">
        <v>267</v>
      </c>
      <c r="G108" t="s">
        <v>115</v>
      </c>
      <c r="W108" t="s">
        <v>113</v>
      </c>
      <c r="DH108" t="s">
        <v>6</v>
      </c>
      <c r="DI108" s="6" t="s">
        <v>22</v>
      </c>
      <c r="DM108">
        <v>9.5999999999999996E-6</v>
      </c>
      <c r="DR108" s="16">
        <f>DM108</f>
        <v>9.5999999999999996E-6</v>
      </c>
    </row>
    <row r="109" spans="1:122" x14ac:dyDescent="0.25">
      <c r="A109" t="s">
        <v>268</v>
      </c>
      <c r="U109" t="s">
        <v>116</v>
      </c>
      <c r="W109" t="s">
        <v>113</v>
      </c>
      <c r="DH109" t="s">
        <v>20</v>
      </c>
      <c r="DI109" s="6" t="s">
        <v>22</v>
      </c>
      <c r="DM109">
        <v>0</v>
      </c>
      <c r="DR109">
        <f>DM109</f>
        <v>0</v>
      </c>
    </row>
    <row r="110" spans="1:122" x14ac:dyDescent="0.25">
      <c r="A110" t="s">
        <v>269</v>
      </c>
      <c r="AK110" t="s">
        <v>113</v>
      </c>
      <c r="AL110" t="s">
        <v>114</v>
      </c>
      <c r="DH110" s="4" t="s">
        <v>320</v>
      </c>
      <c r="DI110" s="4" t="s">
        <v>321</v>
      </c>
      <c r="DJ110" s="4"/>
      <c r="DK110" s="4"/>
      <c r="DL110" s="4"/>
      <c r="DM110">
        <v>0</v>
      </c>
      <c r="DN110">
        <v>0</v>
      </c>
      <c r="DR110">
        <f>DM110*DN110</f>
        <v>0</v>
      </c>
    </row>
    <row r="111" spans="1:122" x14ac:dyDescent="0.25">
      <c r="A111" t="s">
        <v>270</v>
      </c>
      <c r="AW111" t="s">
        <v>113</v>
      </c>
      <c r="DH111" t="s">
        <v>48</v>
      </c>
      <c r="DM111">
        <v>8.4000000000000003E-4</v>
      </c>
      <c r="DR111">
        <f>DM111</f>
        <v>8.4000000000000003E-4</v>
      </c>
    </row>
    <row r="112" spans="1:122" x14ac:dyDescent="0.25">
      <c r="A112" t="s">
        <v>271</v>
      </c>
      <c r="W112" t="s">
        <v>113</v>
      </c>
      <c r="BG112" t="s">
        <v>115</v>
      </c>
      <c r="DH112" t="s">
        <v>58</v>
      </c>
      <c r="DI112" s="6" t="s">
        <v>22</v>
      </c>
      <c r="DM112">
        <v>2.2000000000000001E-4</v>
      </c>
      <c r="DR112" s="16">
        <f>DM112</f>
        <v>2.2000000000000001E-4</v>
      </c>
    </row>
    <row r="113" spans="1:122" x14ac:dyDescent="0.25">
      <c r="A113" t="s">
        <v>272</v>
      </c>
      <c r="W113" t="s">
        <v>113</v>
      </c>
      <c r="BQ113" t="s">
        <v>116</v>
      </c>
      <c r="DH113" s="4" t="s">
        <v>322</v>
      </c>
      <c r="DI113" s="6" t="s">
        <v>22</v>
      </c>
      <c r="DM113" s="11">
        <v>8.484E-7</v>
      </c>
      <c r="DR113" s="18">
        <f>DM113</f>
        <v>8.484E-7</v>
      </c>
    </row>
    <row r="114" spans="1:122" x14ac:dyDescent="0.25">
      <c r="A114" t="s">
        <v>273</v>
      </c>
      <c r="BR114" t="s">
        <v>116</v>
      </c>
      <c r="DH114" t="s">
        <v>69</v>
      </c>
      <c r="DM114">
        <v>2.0000000000000002E-5</v>
      </c>
      <c r="DR114">
        <f>DM114</f>
        <v>2.0000000000000002E-5</v>
      </c>
    </row>
    <row r="115" spans="1:122" x14ac:dyDescent="0.25">
      <c r="A115" t="s">
        <v>274</v>
      </c>
      <c r="W115" t="s">
        <v>113</v>
      </c>
      <c r="CE115" t="s">
        <v>114</v>
      </c>
      <c r="DH115" t="s">
        <v>82</v>
      </c>
      <c r="DI115" s="6" t="s">
        <v>22</v>
      </c>
      <c r="DM115">
        <v>1E-4</v>
      </c>
      <c r="DR115" s="16">
        <f>DM115</f>
        <v>1E-4</v>
      </c>
    </row>
    <row r="116" spans="1:122" x14ac:dyDescent="0.25">
      <c r="A116" t="s">
        <v>275</v>
      </c>
      <c r="W116" t="s">
        <v>113</v>
      </c>
      <c r="DH116" s="6" t="s">
        <v>22</v>
      </c>
      <c r="DR116" s="7"/>
    </row>
    <row r="117" spans="1:122" x14ac:dyDescent="0.25">
      <c r="A117" t="s">
        <v>276</v>
      </c>
      <c r="DF117" t="s">
        <v>116</v>
      </c>
      <c r="DH117" t="s">
        <v>109</v>
      </c>
      <c r="DM117">
        <v>0</v>
      </c>
      <c r="DR117">
        <f>DM117</f>
        <v>0</v>
      </c>
    </row>
    <row r="118" spans="1:122" x14ac:dyDescent="0.25">
      <c r="A118" t="s">
        <v>277</v>
      </c>
      <c r="W118" t="s">
        <v>113</v>
      </c>
      <c r="CT118" t="s">
        <v>116</v>
      </c>
      <c r="DH118" t="s">
        <v>97</v>
      </c>
      <c r="DI118" s="6" t="s">
        <v>22</v>
      </c>
      <c r="DM118">
        <v>1.6000000000000001E-4</v>
      </c>
      <c r="DR118" s="16">
        <f>DM118</f>
        <v>1.6000000000000001E-4</v>
      </c>
    </row>
    <row r="119" spans="1:122" x14ac:dyDescent="0.25">
      <c r="A119" t="s">
        <v>279</v>
      </c>
      <c r="AV119" t="s">
        <v>114</v>
      </c>
      <c r="DH119" t="s">
        <v>47</v>
      </c>
      <c r="DM119">
        <v>0</v>
      </c>
      <c r="DR119">
        <f>DM119</f>
        <v>0</v>
      </c>
    </row>
    <row r="120" spans="1:122" s="5" customFormat="1" x14ac:dyDescent="0.25">
      <c r="A120" s="5" t="s">
        <v>280</v>
      </c>
      <c r="W120" s="5" t="s">
        <v>113</v>
      </c>
      <c r="CD120" s="5" t="s">
        <v>116</v>
      </c>
      <c r="CO120" s="5" t="s">
        <v>113</v>
      </c>
      <c r="CQ120" s="5" t="s">
        <v>115</v>
      </c>
      <c r="CR120" s="5" t="s">
        <v>115</v>
      </c>
      <c r="CS120" s="5" t="s">
        <v>113</v>
      </c>
      <c r="CU120" s="5" t="s">
        <v>114</v>
      </c>
      <c r="CV120" s="5" t="s">
        <v>113</v>
      </c>
      <c r="CX120" s="5" t="s">
        <v>113</v>
      </c>
      <c r="CY120" s="5" t="s">
        <v>115</v>
      </c>
      <c r="CZ120" s="5" t="s">
        <v>113</v>
      </c>
      <c r="DA120" s="5" t="s">
        <v>116</v>
      </c>
      <c r="DB120" s="5" t="s">
        <v>115</v>
      </c>
      <c r="DC120" s="5" t="s">
        <v>113</v>
      </c>
      <c r="DD120" s="5" t="s">
        <v>114</v>
      </c>
      <c r="DH120" s="5" t="s">
        <v>324</v>
      </c>
      <c r="DR120">
        <v>0</v>
      </c>
    </row>
    <row r="121" spans="1:122" x14ac:dyDescent="0.25">
      <c r="A121" t="s">
        <v>281</v>
      </c>
      <c r="W121" t="s">
        <v>113</v>
      </c>
      <c r="DH121" s="6" t="s">
        <v>22</v>
      </c>
      <c r="DR121" s="7"/>
    </row>
    <row r="122" spans="1:122" x14ac:dyDescent="0.25">
      <c r="A122" t="s">
        <v>282</v>
      </c>
      <c r="S122" t="s">
        <v>115</v>
      </c>
      <c r="DH122" t="s">
        <v>18</v>
      </c>
      <c r="DM122">
        <v>0</v>
      </c>
      <c r="DR122">
        <f>DM122</f>
        <v>0</v>
      </c>
    </row>
    <row r="123" spans="1:122" x14ac:dyDescent="0.25">
      <c r="A123" t="s">
        <v>283</v>
      </c>
      <c r="AS123" t="s">
        <v>116</v>
      </c>
      <c r="DH123" t="s">
        <v>44</v>
      </c>
      <c r="DM123">
        <v>0</v>
      </c>
      <c r="DR123">
        <f>DM123</f>
        <v>0</v>
      </c>
    </row>
    <row r="124" spans="1:122" x14ac:dyDescent="0.25">
      <c r="A124" t="s">
        <v>284</v>
      </c>
      <c r="AG124" t="s">
        <v>168</v>
      </c>
      <c r="DH124" t="s">
        <v>32</v>
      </c>
      <c r="DM124">
        <v>0</v>
      </c>
      <c r="DR124">
        <f>DM124</f>
        <v>0</v>
      </c>
    </row>
    <row r="125" spans="1:122" x14ac:dyDescent="0.25">
      <c r="A125" t="s">
        <v>285</v>
      </c>
      <c r="W125" t="s">
        <v>117</v>
      </c>
      <c r="DH125" s="6" t="s">
        <v>22</v>
      </c>
      <c r="DI125" s="10"/>
      <c r="DR125" s="7"/>
    </row>
    <row r="126" spans="1:122" x14ac:dyDescent="0.25">
      <c r="A126" t="s">
        <v>286</v>
      </c>
      <c r="W126" t="s">
        <v>113</v>
      </c>
      <c r="AG126" t="s">
        <v>168</v>
      </c>
      <c r="DH126" t="s">
        <v>32</v>
      </c>
      <c r="DI126" s="6" t="s">
        <v>22</v>
      </c>
      <c r="DM126">
        <v>0</v>
      </c>
      <c r="DR126">
        <f>DM126</f>
        <v>0</v>
      </c>
    </row>
    <row r="127" spans="1:122" x14ac:dyDescent="0.25">
      <c r="A127" t="s">
        <v>287</v>
      </c>
      <c r="W127" t="s">
        <v>113</v>
      </c>
      <c r="CD127" t="s">
        <v>116</v>
      </c>
      <c r="DH127" t="s">
        <v>81</v>
      </c>
      <c r="DI127" s="6" t="s">
        <v>22</v>
      </c>
      <c r="DM127">
        <v>1.7600000000000001E-3</v>
      </c>
      <c r="DR127" s="16">
        <f>DM127</f>
        <v>1.7600000000000001E-3</v>
      </c>
    </row>
    <row r="128" spans="1:122" x14ac:dyDescent="0.25">
      <c r="A128" t="s">
        <v>288</v>
      </c>
      <c r="W128" t="s">
        <v>113</v>
      </c>
      <c r="DH128" s="6" t="s">
        <v>22</v>
      </c>
      <c r="DR128" s="7"/>
    </row>
    <row r="129" spans="1:122" x14ac:dyDescent="0.25">
      <c r="A129" t="s">
        <v>289</v>
      </c>
      <c r="W129" t="s">
        <v>117</v>
      </c>
      <c r="AN129" t="s">
        <v>156</v>
      </c>
      <c r="AP129" t="s">
        <v>114</v>
      </c>
      <c r="DH129" s="1" t="s">
        <v>39</v>
      </c>
      <c r="DI129" s="1" t="s">
        <v>41</v>
      </c>
      <c r="DJ129" s="6" t="s">
        <v>22</v>
      </c>
      <c r="DK129" s="6"/>
      <c r="DL129" s="6"/>
      <c r="DM129">
        <v>4.9100000000000003E-3</v>
      </c>
      <c r="DN129">
        <v>6.2599999999999999E-3</v>
      </c>
      <c r="DR129">
        <f>DM129*DN129</f>
        <v>3.07366E-5</v>
      </c>
    </row>
    <row r="130" spans="1:122" x14ac:dyDescent="0.25">
      <c r="A130" t="s">
        <v>290</v>
      </c>
      <c r="AI130" t="s">
        <v>115</v>
      </c>
      <c r="DH130" t="s">
        <v>34</v>
      </c>
      <c r="DM130">
        <v>0</v>
      </c>
      <c r="DR130">
        <f>DM130</f>
        <v>0</v>
      </c>
    </row>
    <row r="131" spans="1:122" x14ac:dyDescent="0.25">
      <c r="A131" t="s">
        <v>291</v>
      </c>
      <c r="AT131" t="s">
        <v>114</v>
      </c>
      <c r="DH131" t="s">
        <v>45</v>
      </c>
      <c r="DM131">
        <v>0</v>
      </c>
      <c r="DR131">
        <f>DM131</f>
        <v>0</v>
      </c>
    </row>
    <row r="132" spans="1:122" x14ac:dyDescent="0.25">
      <c r="A132" t="s">
        <v>292</v>
      </c>
      <c r="AQ132" t="s">
        <v>116</v>
      </c>
      <c r="DH132" t="s">
        <v>42</v>
      </c>
      <c r="DM132">
        <v>0</v>
      </c>
      <c r="DR132">
        <f>DM132</f>
        <v>0</v>
      </c>
    </row>
    <row r="133" spans="1:122" x14ac:dyDescent="0.25">
      <c r="A133" t="s">
        <v>293</v>
      </c>
      <c r="W133" t="s">
        <v>113</v>
      </c>
      <c r="DH133" s="6" t="s">
        <v>22</v>
      </c>
      <c r="DI133" s="8"/>
      <c r="DR133" s="7"/>
    </row>
    <row r="134" spans="1:122" x14ac:dyDescent="0.25">
      <c r="A134" t="s">
        <v>294</v>
      </c>
      <c r="W134" t="s">
        <v>113</v>
      </c>
      <c r="CL134" t="s">
        <v>116</v>
      </c>
      <c r="DH134" t="s">
        <v>89</v>
      </c>
      <c r="DI134" s="6" t="s">
        <v>22</v>
      </c>
      <c r="DM134">
        <v>0</v>
      </c>
      <c r="DR134">
        <f>DM134</f>
        <v>0</v>
      </c>
    </row>
    <row r="135" spans="1:122" x14ac:dyDescent="0.25">
      <c r="A135" t="s">
        <v>295</v>
      </c>
      <c r="F135" t="s">
        <v>114</v>
      </c>
      <c r="W135" t="s">
        <v>113</v>
      </c>
      <c r="DH135" t="s">
        <v>5</v>
      </c>
      <c r="DI135" s="6" t="s">
        <v>22</v>
      </c>
      <c r="DM135">
        <v>0</v>
      </c>
      <c r="DR135">
        <f>DM135</f>
        <v>0</v>
      </c>
    </row>
    <row r="136" spans="1:122" x14ac:dyDescent="0.25">
      <c r="A136" t="s">
        <v>296</v>
      </c>
      <c r="W136" t="s">
        <v>113</v>
      </c>
      <c r="AC136" t="s">
        <v>114</v>
      </c>
      <c r="DH136" t="s">
        <v>28</v>
      </c>
      <c r="DI136" s="6" t="s">
        <v>22</v>
      </c>
      <c r="DM136">
        <v>0</v>
      </c>
      <c r="DR136">
        <f>DM136</f>
        <v>0</v>
      </c>
    </row>
    <row r="137" spans="1:122" x14ac:dyDescent="0.25">
      <c r="A137" t="s">
        <v>297</v>
      </c>
      <c r="W137" t="s">
        <v>113</v>
      </c>
      <c r="BP137" t="s">
        <v>113</v>
      </c>
      <c r="DH137" t="s">
        <v>67</v>
      </c>
      <c r="DI137" s="6" t="s">
        <v>22</v>
      </c>
      <c r="DM137">
        <v>0</v>
      </c>
      <c r="DR137">
        <f>DM137</f>
        <v>0</v>
      </c>
    </row>
    <row r="138" spans="1:122" x14ac:dyDescent="0.25">
      <c r="A138" t="s">
        <v>298</v>
      </c>
      <c r="D138" t="s">
        <v>114</v>
      </c>
      <c r="W138" t="s">
        <v>113</v>
      </c>
      <c r="DH138" t="s">
        <v>3</v>
      </c>
      <c r="DI138" s="6" t="s">
        <v>22</v>
      </c>
      <c r="DM138">
        <v>0</v>
      </c>
      <c r="DR138">
        <f>DM138</f>
        <v>0</v>
      </c>
    </row>
    <row r="139" spans="1:122" x14ac:dyDescent="0.25">
      <c r="A139" t="s">
        <v>299</v>
      </c>
      <c r="I139" t="s">
        <v>116</v>
      </c>
      <c r="J139" t="s">
        <v>115</v>
      </c>
      <c r="W139" t="s">
        <v>113</v>
      </c>
      <c r="DH139" s="14" t="s">
        <v>8</v>
      </c>
      <c r="DI139" s="1" t="s">
        <v>9</v>
      </c>
      <c r="DJ139" s="6" t="s">
        <v>22</v>
      </c>
      <c r="DK139" s="6"/>
      <c r="DL139" s="6"/>
      <c r="DM139">
        <v>0.18057999999999999</v>
      </c>
      <c r="DN139">
        <v>0.11741</v>
      </c>
      <c r="DR139" s="17">
        <f>DN139*DM139</f>
        <v>2.1201897799999998E-2</v>
      </c>
    </row>
    <row r="140" spans="1:122" x14ac:dyDescent="0.25">
      <c r="A140" t="s">
        <v>300</v>
      </c>
      <c r="W140" t="s">
        <v>113</v>
      </c>
      <c r="BC140" t="s">
        <v>150</v>
      </c>
      <c r="DH140" t="s">
        <v>54</v>
      </c>
      <c r="DI140" s="6" t="s">
        <v>22</v>
      </c>
      <c r="DM140">
        <v>0</v>
      </c>
      <c r="DR140">
        <f>DM140</f>
        <v>0</v>
      </c>
    </row>
    <row r="141" spans="1:122" x14ac:dyDescent="0.25">
      <c r="A141" t="s">
        <v>301</v>
      </c>
      <c r="W141" t="s">
        <v>113</v>
      </c>
      <c r="CD141" t="s">
        <v>116</v>
      </c>
      <c r="DH141" t="s">
        <v>81</v>
      </c>
      <c r="DI141" s="6" t="s">
        <v>22</v>
      </c>
      <c r="DM141">
        <v>1.7600000000000001E-3</v>
      </c>
      <c r="DR141" s="16">
        <f>DM141</f>
        <v>1.7600000000000001E-3</v>
      </c>
    </row>
    <row r="142" spans="1:122" x14ac:dyDescent="0.25">
      <c r="A142" t="s">
        <v>302</v>
      </c>
      <c r="T142" t="s">
        <v>113</v>
      </c>
      <c r="W142" t="s">
        <v>113</v>
      </c>
      <c r="DH142" t="s">
        <v>19</v>
      </c>
      <c r="DI142" s="6" t="s">
        <v>22</v>
      </c>
      <c r="DR142">
        <v>0</v>
      </c>
    </row>
    <row r="143" spans="1:122" x14ac:dyDescent="0.25">
      <c r="A143" t="s">
        <v>303</v>
      </c>
      <c r="W143" t="s">
        <v>113</v>
      </c>
      <c r="DH143" s="6" t="s">
        <v>22</v>
      </c>
      <c r="DI143" s="8"/>
      <c r="DR143" s="7"/>
    </row>
    <row r="144" spans="1:122" x14ac:dyDescent="0.25">
      <c r="A144" t="s">
        <v>304</v>
      </c>
      <c r="W144" t="s">
        <v>113</v>
      </c>
      <c r="AH144" t="s">
        <v>116</v>
      </c>
      <c r="DH144" t="s">
        <v>33</v>
      </c>
      <c r="DI144" s="6" t="s">
        <v>22</v>
      </c>
      <c r="DM144">
        <v>0</v>
      </c>
      <c r="DR144">
        <f>DM144</f>
        <v>0</v>
      </c>
    </row>
    <row r="145" spans="1:122" x14ac:dyDescent="0.25">
      <c r="A145" t="s">
        <v>305</v>
      </c>
      <c r="W145" t="s">
        <v>113</v>
      </c>
      <c r="AU145" t="s">
        <v>306</v>
      </c>
      <c r="DH145" t="s">
        <v>46</v>
      </c>
      <c r="DI145" s="6" t="s">
        <v>22</v>
      </c>
      <c r="DM145">
        <v>0</v>
      </c>
      <c r="DR145">
        <f>DM145</f>
        <v>0</v>
      </c>
    </row>
    <row r="146" spans="1:122" x14ac:dyDescent="0.25">
      <c r="A146" t="s">
        <v>307</v>
      </c>
      <c r="P146" t="s">
        <v>115</v>
      </c>
      <c r="DH146" s="9" t="s">
        <v>323</v>
      </c>
      <c r="DR146" s="9"/>
    </row>
    <row r="147" spans="1:122" x14ac:dyDescent="0.25">
      <c r="A147" t="s">
        <v>308</v>
      </c>
      <c r="AM147" t="s">
        <v>116</v>
      </c>
      <c r="DH147" t="s">
        <v>38</v>
      </c>
      <c r="DM147">
        <v>0</v>
      </c>
      <c r="DR147">
        <f>DM147</f>
        <v>0</v>
      </c>
    </row>
    <row r="148" spans="1:122" x14ac:dyDescent="0.25">
      <c r="A148" t="s">
        <v>309</v>
      </c>
      <c r="CB148" t="s">
        <v>113</v>
      </c>
      <c r="DH148" t="s">
        <v>79</v>
      </c>
      <c r="DM148">
        <v>0</v>
      </c>
      <c r="DR148">
        <f>DM148</f>
        <v>0</v>
      </c>
    </row>
    <row r="149" spans="1:122" x14ac:dyDescent="0.25">
      <c r="A149" t="s">
        <v>311</v>
      </c>
      <c r="W149" t="s">
        <v>113</v>
      </c>
      <c r="DH149" s="6" t="s">
        <v>22</v>
      </c>
      <c r="DI149" s="10"/>
      <c r="DR149" s="7"/>
    </row>
    <row r="150" spans="1:122" x14ac:dyDescent="0.25">
      <c r="A150" t="s">
        <v>312</v>
      </c>
      <c r="O150" t="s">
        <v>113</v>
      </c>
      <c r="W150" t="s">
        <v>113</v>
      </c>
      <c r="DH150" t="s">
        <v>14</v>
      </c>
      <c r="DI150" s="6" t="s">
        <v>22</v>
      </c>
      <c r="DM150">
        <v>4.0000000000000003E-5</v>
      </c>
      <c r="DR150" s="16">
        <f>DM150</f>
        <v>4.0000000000000003E-5</v>
      </c>
    </row>
    <row r="151" spans="1:122" x14ac:dyDescent="0.25">
      <c r="DR151">
        <f>(SUM(DR5:DR150))*100</f>
        <v>30.004165820001223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5" sqref="B25"/>
    </sheetView>
  </sheetViews>
  <sheetFormatPr baseColWidth="10" defaultRowHeight="15" x14ac:dyDescent="0.25"/>
  <cols>
    <col min="2" max="2" width="18.85546875" customWidth="1"/>
  </cols>
  <sheetData>
    <row r="1" spans="1:3" x14ac:dyDescent="0.25">
      <c r="A1" t="s">
        <v>326</v>
      </c>
      <c r="B1" t="s">
        <v>327</v>
      </c>
      <c r="C1" t="s">
        <v>328</v>
      </c>
    </row>
    <row r="2" spans="1:3" x14ac:dyDescent="0.25">
      <c r="A2" t="s">
        <v>1</v>
      </c>
      <c r="B2" t="s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52"/>
  <sheetViews>
    <sheetView tabSelected="1" topLeftCell="DE67" workbookViewId="0">
      <selection activeCell="DR8" sqref="DR8"/>
    </sheetView>
  </sheetViews>
  <sheetFormatPr baseColWidth="10" defaultColWidth="9.140625" defaultRowHeight="15" x14ac:dyDescent="0.25"/>
  <cols>
    <col min="111" max="111" width="25" customWidth="1"/>
    <col min="112" max="112" width="14.85546875" customWidth="1"/>
    <col min="117" max="117" width="19.28515625" customWidth="1"/>
    <col min="118" max="118" width="10.5703125" customWidth="1"/>
    <col min="119" max="120" width="10.42578125" customWidth="1"/>
    <col min="122" max="122" width="12" bestFit="1" customWidth="1"/>
  </cols>
  <sheetData>
    <row r="1" spans="1:1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313</v>
      </c>
      <c r="DI1" s="2"/>
      <c r="DJ1" s="2"/>
      <c r="DK1" s="2"/>
      <c r="DL1" s="2"/>
      <c r="DM1" s="2"/>
      <c r="DN1" s="2"/>
      <c r="DO1" s="2"/>
      <c r="DP1" s="2"/>
      <c r="DQ1" s="2"/>
      <c r="DR1" s="2" t="s">
        <v>314</v>
      </c>
    </row>
    <row r="2" spans="1:122" s="1" customFormat="1" x14ac:dyDescent="0.25">
      <c r="B2" s="1">
        <v>0</v>
      </c>
      <c r="C2" s="20"/>
      <c r="D2" s="1">
        <v>0</v>
      </c>
      <c r="E2">
        <v>4.57E-4</v>
      </c>
      <c r="F2">
        <v>5.0980000000000001E-6</v>
      </c>
      <c r="G2" s="1">
        <v>0</v>
      </c>
      <c r="H2" s="1">
        <v>0</v>
      </c>
      <c r="I2" s="21"/>
      <c r="J2" s="21"/>
      <c r="K2">
        <v>6.2830000000000007E-5</v>
      </c>
      <c r="L2">
        <v>5.1789999999999997E-5</v>
      </c>
      <c r="M2">
        <v>8.7449999999999998E-5</v>
      </c>
      <c r="N2">
        <v>1.6980000000000001E-6</v>
      </c>
      <c r="O2">
        <v>4.2440000000000004E-6</v>
      </c>
      <c r="P2" s="20"/>
      <c r="Q2">
        <v>1.214E-4</v>
      </c>
      <c r="R2">
        <v>7.4709999999999995E-5</v>
      </c>
      <c r="S2">
        <v>1.0190000000000001E-5</v>
      </c>
      <c r="T2" s="1">
        <v>0</v>
      </c>
      <c r="U2" s="1">
        <v>0</v>
      </c>
      <c r="V2">
        <v>3.4799999999999999E-5</v>
      </c>
      <c r="W2" s="21"/>
      <c r="X2">
        <v>1.087E-4</v>
      </c>
      <c r="Y2" s="1">
        <v>0</v>
      </c>
      <c r="Z2">
        <v>1.242E-2</v>
      </c>
      <c r="AA2">
        <v>5.9449999999999998E-6</v>
      </c>
      <c r="AB2" s="20"/>
      <c r="AC2" s="1">
        <v>0</v>
      </c>
      <c r="AD2">
        <v>4.0840000000000002E-5</v>
      </c>
      <c r="AE2">
        <v>4.7660000000000001E-5</v>
      </c>
      <c r="AF2">
        <v>1.5310000000000001E-5</v>
      </c>
      <c r="AG2">
        <v>8.551E-6</v>
      </c>
      <c r="AH2">
        <v>2.5689999999999999E-6</v>
      </c>
      <c r="AI2">
        <v>1.7099999999999999E-6</v>
      </c>
      <c r="AJ2" s="20"/>
      <c r="AK2" s="20"/>
      <c r="AL2" s="20"/>
      <c r="AM2">
        <v>5.9610000000000002E-6</v>
      </c>
      <c r="AN2">
        <v>3.813E-4</v>
      </c>
      <c r="AO2" s="1">
        <v>0</v>
      </c>
      <c r="AP2">
        <v>2.0560000000000001E-3</v>
      </c>
      <c r="AQ2" s="1">
        <v>0</v>
      </c>
      <c r="AR2" s="20"/>
      <c r="AS2" s="1">
        <v>0</v>
      </c>
      <c r="AT2" s="11">
        <v>8.4900000000000005E-7</v>
      </c>
      <c r="AU2">
        <v>3.3960000000000002E-6</v>
      </c>
      <c r="AV2">
        <v>3.2270000000000001E-5</v>
      </c>
      <c r="AW2">
        <v>6.2830000000000007E-5</v>
      </c>
      <c r="AX2" s="20"/>
      <c r="AY2">
        <v>1.7500000000000002E-2</v>
      </c>
      <c r="AZ2">
        <v>5.1799999999999999E-5</v>
      </c>
      <c r="BA2">
        <v>5.9469999999999998E-5</v>
      </c>
      <c r="BB2">
        <v>3.3979999999999999E-6</v>
      </c>
      <c r="BC2" s="1">
        <v>0</v>
      </c>
      <c r="BD2">
        <v>9.3510000000000008E-6</v>
      </c>
      <c r="BE2">
        <v>1.1070000000000001E-5</v>
      </c>
      <c r="BF2">
        <v>3.065E-2</v>
      </c>
      <c r="BG2">
        <v>2.41E-4</v>
      </c>
      <c r="BH2" s="1">
        <v>0</v>
      </c>
      <c r="BI2">
        <v>2.6310000000000001E-5</v>
      </c>
      <c r="BJ2" s="11">
        <v>8.4880000000000003E-7</v>
      </c>
      <c r="BK2" s="20"/>
      <c r="BL2">
        <v>1.783E-5</v>
      </c>
      <c r="BM2">
        <v>4.1760000000000001E-4</v>
      </c>
      <c r="BN2">
        <v>1.2390000000000001E-3</v>
      </c>
      <c r="BO2" s="1">
        <v>0</v>
      </c>
      <c r="BP2" s="1">
        <v>0</v>
      </c>
      <c r="BQ2" s="20"/>
      <c r="BR2">
        <v>2.1209999999999999E-5</v>
      </c>
      <c r="BS2">
        <v>1.505E-3</v>
      </c>
      <c r="BT2">
        <v>1.4610000000000001E-3</v>
      </c>
      <c r="BU2" s="1">
        <v>0</v>
      </c>
      <c r="BV2" s="11">
        <v>8.4850000000000001E-7</v>
      </c>
      <c r="BW2" s="20"/>
      <c r="BX2">
        <v>3.0339999999999999E-2</v>
      </c>
      <c r="BY2">
        <v>3.1420000000000001E-5</v>
      </c>
      <c r="BZ2">
        <v>9.5249999999999998E-5</v>
      </c>
      <c r="CA2">
        <v>1.13E-4</v>
      </c>
      <c r="CB2" s="1">
        <v>0</v>
      </c>
      <c r="CC2" s="15"/>
      <c r="CD2">
        <v>6.0590000000000004E-4</v>
      </c>
      <c r="CE2">
        <v>2.039E-5</v>
      </c>
      <c r="CF2">
        <v>7.7440000000000004E-5</v>
      </c>
      <c r="CG2">
        <v>4.2780000000000004E-6</v>
      </c>
      <c r="CH2" s="11">
        <v>8.7219999999999999E-7</v>
      </c>
      <c r="CI2">
        <v>1.0289999999999999E-4</v>
      </c>
      <c r="CJ2">
        <v>4.952E-5</v>
      </c>
      <c r="CK2">
        <v>1.7260000000000001E-5</v>
      </c>
      <c r="CL2">
        <v>1.7230000000000001E-6</v>
      </c>
      <c r="CM2" s="20"/>
      <c r="CN2" s="20"/>
      <c r="CO2">
        <v>2.8050000000000001E-5</v>
      </c>
      <c r="CP2" s="1">
        <v>0</v>
      </c>
      <c r="CQ2">
        <v>1.274E-5</v>
      </c>
      <c r="CR2">
        <v>1.9539999999999999E-5</v>
      </c>
      <c r="CS2">
        <v>3.6980000000000002E-5</v>
      </c>
      <c r="CT2">
        <v>8.8300000000000005E-5</v>
      </c>
      <c r="CU2" s="15"/>
      <c r="CV2" s="1">
        <v>0</v>
      </c>
      <c r="CW2" s="20"/>
      <c r="CX2" s="20"/>
      <c r="CY2" s="20"/>
      <c r="CZ2" s="20"/>
      <c r="DA2" s="15"/>
      <c r="DB2" s="15"/>
      <c r="DC2">
        <v>8.4950000000000008E-6</v>
      </c>
      <c r="DD2" s="1">
        <v>0</v>
      </c>
      <c r="DE2">
        <v>3.7410000000000003E-5</v>
      </c>
      <c r="DF2">
        <v>9.4730000000000006E-6</v>
      </c>
      <c r="DG2" s="20"/>
      <c r="DH2" s="19">
        <f>SUM(B2:DG2)</f>
        <v>0.10102177850000001</v>
      </c>
      <c r="DI2" s="19">
        <f>DH2*100</f>
        <v>10.10217785</v>
      </c>
      <c r="DJ2" s="19">
        <f>DH2+I3+J3+W3</f>
        <v>0.98742177850000001</v>
      </c>
      <c r="DK2" s="19">
        <f>DJ2*100</f>
        <v>98.742177850000004</v>
      </c>
      <c r="DL2" s="19"/>
      <c r="DM2" s="19"/>
      <c r="DN2" s="19"/>
      <c r="DO2" s="19"/>
      <c r="DP2" s="19"/>
      <c r="DQ2" s="19"/>
      <c r="DR2" s="19"/>
    </row>
    <row r="3" spans="1:122" x14ac:dyDescent="0.25">
      <c r="A3" t="s">
        <v>111</v>
      </c>
      <c r="I3" s="7">
        <v>0.17680000000000001</v>
      </c>
      <c r="J3" s="7">
        <v>0.18720000000000001</v>
      </c>
      <c r="W3" s="7">
        <v>0.52239999999999998</v>
      </c>
      <c r="BB3" s="11"/>
    </row>
    <row r="4" spans="1:122" x14ac:dyDescent="0.25">
      <c r="A4" t="s">
        <v>112</v>
      </c>
      <c r="B4" t="s">
        <v>113</v>
      </c>
      <c r="C4" t="s">
        <v>113</v>
      </c>
      <c r="D4" t="s">
        <v>113</v>
      </c>
      <c r="E4" t="s">
        <v>114</v>
      </c>
      <c r="F4" t="s">
        <v>113</v>
      </c>
      <c r="G4" t="s">
        <v>114</v>
      </c>
      <c r="H4" t="s">
        <v>115</v>
      </c>
      <c r="I4" t="s">
        <v>113</v>
      </c>
      <c r="J4" t="s">
        <v>116</v>
      </c>
      <c r="K4" t="s">
        <v>114</v>
      </c>
      <c r="L4" t="s">
        <v>116</v>
      </c>
      <c r="M4" t="s">
        <v>116</v>
      </c>
      <c r="N4" t="s">
        <v>115</v>
      </c>
      <c r="O4" t="s">
        <v>115</v>
      </c>
      <c r="P4" t="s">
        <v>116</v>
      </c>
      <c r="Q4" t="s">
        <v>114</v>
      </c>
      <c r="R4" t="s">
        <v>115</v>
      </c>
      <c r="S4" t="s">
        <v>114</v>
      </c>
      <c r="T4" t="s">
        <v>114</v>
      </c>
      <c r="U4" t="s">
        <v>115</v>
      </c>
      <c r="V4" t="s">
        <v>113</v>
      </c>
      <c r="W4" t="s">
        <v>117</v>
      </c>
      <c r="X4" t="s">
        <v>114</v>
      </c>
      <c r="Y4" t="s">
        <v>116</v>
      </c>
      <c r="Z4" t="s">
        <v>114</v>
      </c>
      <c r="AA4" t="s">
        <v>116</v>
      </c>
      <c r="AB4" t="s">
        <v>115</v>
      </c>
      <c r="AC4" t="s">
        <v>113</v>
      </c>
      <c r="AD4" t="s">
        <v>113</v>
      </c>
      <c r="AE4" t="s">
        <v>114</v>
      </c>
      <c r="AF4" t="s">
        <v>115</v>
      </c>
      <c r="AG4" t="s">
        <v>118</v>
      </c>
      <c r="AH4" t="s">
        <v>115</v>
      </c>
      <c r="AI4" t="s">
        <v>116</v>
      </c>
      <c r="AJ4" t="s">
        <v>119</v>
      </c>
      <c r="AK4" t="s">
        <v>114</v>
      </c>
      <c r="AL4" t="s">
        <v>115</v>
      </c>
      <c r="AM4" t="s">
        <v>115</v>
      </c>
      <c r="AN4" t="s">
        <v>115</v>
      </c>
      <c r="AO4" t="s">
        <v>115</v>
      </c>
      <c r="AP4" t="s">
        <v>120</v>
      </c>
      <c r="AQ4" t="s">
        <v>115</v>
      </c>
      <c r="AR4" t="s">
        <v>113</v>
      </c>
      <c r="AS4" t="s">
        <v>115</v>
      </c>
      <c r="AT4" t="s">
        <v>113</v>
      </c>
      <c r="AU4" t="s">
        <v>121</v>
      </c>
      <c r="AV4" t="s">
        <v>113</v>
      </c>
      <c r="AW4" t="s">
        <v>114</v>
      </c>
      <c r="AX4" t="s">
        <v>116</v>
      </c>
      <c r="AY4" t="s">
        <v>116</v>
      </c>
      <c r="AZ4" t="s">
        <v>113</v>
      </c>
      <c r="BA4" t="s">
        <v>113</v>
      </c>
      <c r="BB4" t="s">
        <v>122</v>
      </c>
      <c r="BC4" t="s">
        <v>114</v>
      </c>
      <c r="BD4" t="s">
        <v>115</v>
      </c>
      <c r="BE4" t="s">
        <v>114</v>
      </c>
      <c r="BF4" t="s">
        <v>123</v>
      </c>
      <c r="BG4" t="s">
        <v>116</v>
      </c>
      <c r="BH4" t="s">
        <v>113</v>
      </c>
      <c r="BI4" t="s">
        <v>116</v>
      </c>
      <c r="BJ4" t="s">
        <v>114</v>
      </c>
      <c r="BK4" t="s">
        <v>116</v>
      </c>
      <c r="BL4" t="s">
        <v>124</v>
      </c>
      <c r="BM4" t="s">
        <v>115</v>
      </c>
      <c r="BN4" t="s">
        <v>115</v>
      </c>
      <c r="BO4" t="s">
        <v>116</v>
      </c>
      <c r="BP4" t="s">
        <v>116</v>
      </c>
      <c r="BQ4" t="s">
        <v>115</v>
      </c>
      <c r="BR4" t="s">
        <v>115</v>
      </c>
      <c r="BS4" t="s">
        <v>116</v>
      </c>
      <c r="BT4" t="s">
        <v>116</v>
      </c>
      <c r="BU4" t="s">
        <v>125</v>
      </c>
      <c r="BV4" t="s">
        <v>114</v>
      </c>
      <c r="BW4" t="s">
        <v>114</v>
      </c>
      <c r="BX4" t="s">
        <v>115</v>
      </c>
      <c r="BY4" t="s">
        <v>115</v>
      </c>
      <c r="BZ4" t="s">
        <v>115</v>
      </c>
      <c r="CA4" t="s">
        <v>126</v>
      </c>
      <c r="CB4" t="s">
        <v>115</v>
      </c>
      <c r="CC4" t="s">
        <v>116</v>
      </c>
      <c r="CD4" t="s">
        <v>115</v>
      </c>
      <c r="CE4" t="s">
        <v>113</v>
      </c>
      <c r="CF4" t="s">
        <v>115</v>
      </c>
      <c r="CG4" t="s">
        <v>113</v>
      </c>
      <c r="CH4" t="s">
        <v>115</v>
      </c>
      <c r="CI4" t="s">
        <v>113</v>
      </c>
      <c r="CJ4" t="s">
        <v>115</v>
      </c>
      <c r="CK4" t="s">
        <v>115</v>
      </c>
      <c r="CL4" t="s">
        <v>115</v>
      </c>
      <c r="CM4" t="s">
        <v>113</v>
      </c>
      <c r="CN4" t="s">
        <v>113</v>
      </c>
      <c r="CO4" t="s">
        <v>115</v>
      </c>
      <c r="CP4" t="s">
        <v>127</v>
      </c>
      <c r="CQ4" t="s">
        <v>113</v>
      </c>
      <c r="CR4" t="s">
        <v>116</v>
      </c>
      <c r="CS4" t="s">
        <v>114</v>
      </c>
      <c r="CT4" t="s">
        <v>115</v>
      </c>
      <c r="CU4" t="s">
        <v>113</v>
      </c>
      <c r="CV4" t="s">
        <v>116</v>
      </c>
      <c r="CW4" t="s">
        <v>114</v>
      </c>
      <c r="CX4" t="s">
        <v>115</v>
      </c>
      <c r="CY4" t="s">
        <v>114</v>
      </c>
      <c r="CZ4" t="s">
        <v>114</v>
      </c>
      <c r="DA4" t="s">
        <v>115</v>
      </c>
      <c r="DB4" t="s">
        <v>113</v>
      </c>
      <c r="DC4" t="s">
        <v>114</v>
      </c>
      <c r="DD4" t="s">
        <v>113</v>
      </c>
      <c r="DE4" t="s">
        <v>113</v>
      </c>
      <c r="DF4" t="s">
        <v>115</v>
      </c>
    </row>
    <row r="5" spans="1:122" x14ac:dyDescent="0.25">
      <c r="A5" t="s">
        <v>128</v>
      </c>
      <c r="W5" t="s">
        <v>117</v>
      </c>
      <c r="DH5" s="6" t="s">
        <v>22</v>
      </c>
      <c r="DM5">
        <v>0.56784000000000001</v>
      </c>
      <c r="DR5" s="7"/>
    </row>
    <row r="6" spans="1:122" x14ac:dyDescent="0.25">
      <c r="A6" t="s">
        <v>129</v>
      </c>
      <c r="AY6" t="s">
        <v>130</v>
      </c>
      <c r="DH6" s="1" t="s">
        <v>50</v>
      </c>
      <c r="DM6" s="3">
        <v>1.3610000000000001E-2</v>
      </c>
      <c r="DN6" s="3"/>
      <c r="DO6" s="3"/>
      <c r="DP6" s="3"/>
      <c r="DQ6" s="3"/>
      <c r="DR6">
        <f>DM6</f>
        <v>1.3610000000000001E-2</v>
      </c>
    </row>
    <row r="7" spans="1:122" s="5" customFormat="1" x14ac:dyDescent="0.25">
      <c r="A7" s="5" t="s">
        <v>131</v>
      </c>
      <c r="I7" s="5" t="s">
        <v>132</v>
      </c>
      <c r="J7" s="5" t="s">
        <v>133</v>
      </c>
      <c r="W7" s="5" t="s">
        <v>117</v>
      </c>
      <c r="CO7" s="5" t="s">
        <v>117</v>
      </c>
      <c r="CQ7" s="5" t="s">
        <v>117</v>
      </c>
      <c r="CR7" s="5" t="s">
        <v>133</v>
      </c>
      <c r="CS7" s="5" t="s">
        <v>120</v>
      </c>
      <c r="CU7" s="5" t="s">
        <v>120</v>
      </c>
      <c r="CV7" s="5" t="s">
        <v>132</v>
      </c>
      <c r="CX7" s="5" t="s">
        <v>117</v>
      </c>
      <c r="CY7" s="5" t="s">
        <v>134</v>
      </c>
      <c r="CZ7" s="5" t="s">
        <v>120</v>
      </c>
      <c r="DA7" s="5" t="s">
        <v>133</v>
      </c>
      <c r="DB7" s="5" t="s">
        <v>117</v>
      </c>
      <c r="DC7" s="5" t="s">
        <v>120</v>
      </c>
      <c r="DD7" s="5" t="s">
        <v>120</v>
      </c>
      <c r="DH7" s="5" t="s">
        <v>315</v>
      </c>
      <c r="DI7" s="5" t="s">
        <v>324</v>
      </c>
      <c r="DR7">
        <v>0</v>
      </c>
    </row>
    <row r="8" spans="1:122" x14ac:dyDescent="0.25">
      <c r="A8" t="s">
        <v>135</v>
      </c>
      <c r="DG8" t="s">
        <v>136</v>
      </c>
      <c r="DH8" s="12" t="s">
        <v>135</v>
      </c>
      <c r="DR8" s="12"/>
    </row>
    <row r="9" spans="1:122" x14ac:dyDescent="0.25">
      <c r="A9" t="s">
        <v>137</v>
      </c>
      <c r="Z9" t="s">
        <v>138</v>
      </c>
      <c r="DH9" t="s">
        <v>25</v>
      </c>
      <c r="DM9">
        <v>1.67E-3</v>
      </c>
      <c r="DR9">
        <f>DM9</f>
        <v>1.67E-3</v>
      </c>
    </row>
    <row r="10" spans="1:122" x14ac:dyDescent="0.25">
      <c r="A10" t="s">
        <v>140</v>
      </c>
      <c r="W10" t="s">
        <v>113</v>
      </c>
      <c r="AF10" t="s">
        <v>114</v>
      </c>
      <c r="DH10" t="s">
        <v>31</v>
      </c>
      <c r="DI10" s="7" t="s">
        <v>22</v>
      </c>
      <c r="DJ10" s="7"/>
      <c r="DK10" s="7"/>
      <c r="DL10" s="7"/>
      <c r="DM10">
        <v>0</v>
      </c>
      <c r="DR10">
        <f>DM10</f>
        <v>0</v>
      </c>
    </row>
    <row r="11" spans="1:122" x14ac:dyDescent="0.25">
      <c r="A11" t="s">
        <v>141</v>
      </c>
      <c r="BF11" t="s">
        <v>142</v>
      </c>
      <c r="DH11" t="s">
        <v>57</v>
      </c>
      <c r="DM11">
        <v>2.2120000000000001E-2</v>
      </c>
      <c r="DR11">
        <f>DM11</f>
        <v>2.2120000000000001E-2</v>
      </c>
    </row>
    <row r="12" spans="1:122" x14ac:dyDescent="0.25">
      <c r="A12" t="s">
        <v>143</v>
      </c>
      <c r="W12" t="s">
        <v>113</v>
      </c>
      <c r="DH12" s="6" t="s">
        <v>22</v>
      </c>
      <c r="DR12" s="7"/>
    </row>
    <row r="13" spans="1:122" x14ac:dyDescent="0.25">
      <c r="A13" t="s">
        <v>144</v>
      </c>
      <c r="W13" t="s">
        <v>113</v>
      </c>
      <c r="DH13" s="6" t="s">
        <v>22</v>
      </c>
      <c r="DR13" s="7"/>
    </row>
    <row r="14" spans="1:122" x14ac:dyDescent="0.25">
      <c r="A14" t="s">
        <v>145</v>
      </c>
      <c r="W14" t="s">
        <v>117</v>
      </c>
      <c r="DH14" s="6" t="s">
        <v>22</v>
      </c>
      <c r="DR14" s="7"/>
    </row>
    <row r="15" spans="1:122" x14ac:dyDescent="0.25">
      <c r="A15" t="s">
        <v>146</v>
      </c>
      <c r="DG15" t="s">
        <v>147</v>
      </c>
      <c r="DH15" s="15" t="s">
        <v>146</v>
      </c>
      <c r="DR15" s="12"/>
    </row>
    <row r="16" spans="1:122" x14ac:dyDescent="0.25">
      <c r="A16" t="s">
        <v>148</v>
      </c>
      <c r="W16" t="s">
        <v>113</v>
      </c>
      <c r="AF16" t="s">
        <v>116</v>
      </c>
      <c r="DH16" t="s">
        <v>31</v>
      </c>
      <c r="DI16" s="6" t="s">
        <v>22</v>
      </c>
      <c r="DJ16" s="6"/>
      <c r="DK16" s="6"/>
      <c r="DL16" s="6"/>
      <c r="DM16">
        <v>4.0000000000000003E-5</v>
      </c>
      <c r="DN16">
        <v>0.56784000000000001</v>
      </c>
      <c r="DR16" s="16">
        <f>DM16</f>
        <v>4.0000000000000003E-5</v>
      </c>
    </row>
    <row r="17" spans="1:122" x14ac:dyDescent="0.25">
      <c r="A17" t="s">
        <v>149</v>
      </c>
      <c r="E17" t="s">
        <v>150</v>
      </c>
      <c r="DH17" t="s">
        <v>4</v>
      </c>
      <c r="DM17">
        <v>1.9000000000000001E-4</v>
      </c>
      <c r="DR17">
        <f>DM17</f>
        <v>1.9000000000000001E-4</v>
      </c>
    </row>
    <row r="18" spans="1:122" x14ac:dyDescent="0.25">
      <c r="A18" t="s">
        <v>151</v>
      </c>
      <c r="W18" t="s">
        <v>113</v>
      </c>
      <c r="DH18" s="6" t="s">
        <v>22</v>
      </c>
      <c r="DR18" s="7"/>
    </row>
    <row r="19" spans="1:122" x14ac:dyDescent="0.25">
      <c r="A19" t="s">
        <v>152</v>
      </c>
      <c r="CP19" t="s">
        <v>153</v>
      </c>
      <c r="DH19" t="s">
        <v>93</v>
      </c>
      <c r="DM19">
        <v>0</v>
      </c>
      <c r="DR19">
        <f>DM19</f>
        <v>0</v>
      </c>
    </row>
    <row r="20" spans="1:122" x14ac:dyDescent="0.25">
      <c r="A20" t="s">
        <v>154</v>
      </c>
      <c r="W20" t="s">
        <v>117</v>
      </c>
      <c r="DH20" s="6" t="s">
        <v>22</v>
      </c>
      <c r="DR20" s="7"/>
    </row>
    <row r="21" spans="1:122" x14ac:dyDescent="0.25">
      <c r="A21" t="s">
        <v>155</v>
      </c>
      <c r="W21" t="s">
        <v>113</v>
      </c>
      <c r="AO21" t="s">
        <v>156</v>
      </c>
      <c r="AP21" t="s">
        <v>114</v>
      </c>
      <c r="DH21" t="s">
        <v>40</v>
      </c>
      <c r="DI21" t="s">
        <v>41</v>
      </c>
      <c r="DJ21" s="6" t="s">
        <v>22</v>
      </c>
      <c r="DK21" s="6"/>
      <c r="DL21" s="6"/>
      <c r="DM21">
        <v>0</v>
      </c>
      <c r="DN21">
        <v>6.2599999999999999E-3</v>
      </c>
      <c r="DR21">
        <f>DM21*DN21</f>
        <v>0</v>
      </c>
    </row>
    <row r="22" spans="1:122" x14ac:dyDescent="0.25">
      <c r="A22" t="s">
        <v>157</v>
      </c>
      <c r="W22" t="s">
        <v>113</v>
      </c>
      <c r="BA22" t="s">
        <v>158</v>
      </c>
      <c r="DH22" t="s">
        <v>52</v>
      </c>
      <c r="DI22" s="6" t="s">
        <v>22</v>
      </c>
      <c r="DM22">
        <v>9.0000000000000006E-5</v>
      </c>
      <c r="DN22">
        <v>0.56784000000000001</v>
      </c>
      <c r="DR22" s="16">
        <f>DM22</f>
        <v>9.0000000000000006E-5</v>
      </c>
    </row>
    <row r="23" spans="1:122" x14ac:dyDescent="0.25">
      <c r="A23" t="s">
        <v>161</v>
      </c>
      <c r="BI23" t="s">
        <v>113</v>
      </c>
      <c r="DH23" t="s">
        <v>60</v>
      </c>
      <c r="DM23">
        <v>0</v>
      </c>
      <c r="DR23">
        <f>DM23</f>
        <v>0</v>
      </c>
    </row>
    <row r="24" spans="1:122" x14ac:dyDescent="0.25">
      <c r="A24" t="s">
        <v>163</v>
      </c>
      <c r="BW24" t="s">
        <v>113</v>
      </c>
      <c r="DH24" s="4" t="s">
        <v>316</v>
      </c>
      <c r="DM24">
        <v>0</v>
      </c>
      <c r="DR24">
        <f>DM24</f>
        <v>0</v>
      </c>
    </row>
    <row r="25" spans="1:122" x14ac:dyDescent="0.25">
      <c r="A25" t="s">
        <v>164</v>
      </c>
      <c r="CD25" t="s">
        <v>116</v>
      </c>
      <c r="DH25" t="s">
        <v>81</v>
      </c>
      <c r="DM25">
        <v>1.7600000000000001E-3</v>
      </c>
      <c r="DR25">
        <f>DM25</f>
        <v>1.7600000000000001E-3</v>
      </c>
    </row>
    <row r="26" spans="1:122" x14ac:dyDescent="0.25">
      <c r="A26" t="s">
        <v>165</v>
      </c>
      <c r="W26" t="s">
        <v>113</v>
      </c>
      <c r="DH26" s="6" t="s">
        <v>22</v>
      </c>
      <c r="DR26" s="7"/>
    </row>
    <row r="27" spans="1:122" x14ac:dyDescent="0.25">
      <c r="A27" t="s">
        <v>166</v>
      </c>
      <c r="W27" t="s">
        <v>113</v>
      </c>
      <c r="DH27" s="6" t="s">
        <v>22</v>
      </c>
      <c r="DR27" s="7"/>
    </row>
    <row r="28" spans="1:122" x14ac:dyDescent="0.25">
      <c r="A28" t="s">
        <v>167</v>
      </c>
      <c r="W28" t="s">
        <v>113</v>
      </c>
      <c r="AG28" t="s">
        <v>168</v>
      </c>
      <c r="DH28" t="s">
        <v>32</v>
      </c>
      <c r="DI28" s="6" t="s">
        <v>22</v>
      </c>
      <c r="DM28">
        <v>0</v>
      </c>
      <c r="DR28">
        <f>DM28</f>
        <v>0</v>
      </c>
    </row>
    <row r="29" spans="1:122" x14ac:dyDescent="0.25">
      <c r="A29" t="s">
        <v>169</v>
      </c>
      <c r="W29" t="s">
        <v>113</v>
      </c>
      <c r="DH29" s="6" t="s">
        <v>22</v>
      </c>
      <c r="DR29" s="7"/>
    </row>
    <row r="30" spans="1:122" x14ac:dyDescent="0.25">
      <c r="A30" t="s">
        <v>170</v>
      </c>
      <c r="W30" t="s">
        <v>113</v>
      </c>
      <c r="CD30" t="s">
        <v>116</v>
      </c>
      <c r="DH30" t="s">
        <v>81</v>
      </c>
      <c r="DI30" s="6" t="s">
        <v>22</v>
      </c>
      <c r="DM30">
        <v>1.7600000000000001E-3</v>
      </c>
      <c r="DN30">
        <v>0.56784000000000001</v>
      </c>
      <c r="DR30" s="16">
        <f>DM30</f>
        <v>1.7600000000000001E-3</v>
      </c>
    </row>
    <row r="31" spans="1:122" x14ac:dyDescent="0.25">
      <c r="A31" t="s">
        <v>173</v>
      </c>
      <c r="W31" t="s">
        <v>113</v>
      </c>
      <c r="DH31" s="6" t="s">
        <v>22</v>
      </c>
      <c r="DR31" s="7"/>
    </row>
    <row r="32" spans="1:122" s="5" customFormat="1" x14ac:dyDescent="0.25">
      <c r="A32" s="5" t="s">
        <v>174</v>
      </c>
      <c r="Q32" s="5" t="s">
        <v>175</v>
      </c>
      <c r="R32" s="5" t="s">
        <v>134</v>
      </c>
      <c r="W32" s="5" t="s">
        <v>113</v>
      </c>
      <c r="CO32" s="5" t="s">
        <v>113</v>
      </c>
      <c r="CQ32" s="5" t="s">
        <v>115</v>
      </c>
      <c r="CR32" s="5" t="s">
        <v>115</v>
      </c>
      <c r="CS32" s="5" t="s">
        <v>113</v>
      </c>
      <c r="CU32" s="5" t="s">
        <v>114</v>
      </c>
      <c r="CV32" s="5" t="s">
        <v>113</v>
      </c>
      <c r="CX32" s="5" t="s">
        <v>113</v>
      </c>
      <c r="CY32" s="5" t="s">
        <v>115</v>
      </c>
      <c r="CZ32" s="5" t="s">
        <v>113</v>
      </c>
      <c r="DA32" s="5" t="s">
        <v>116</v>
      </c>
      <c r="DB32" s="5" t="s">
        <v>115</v>
      </c>
      <c r="DC32" s="5" t="s">
        <v>113</v>
      </c>
      <c r="DD32" s="5" t="s">
        <v>114</v>
      </c>
      <c r="DH32" s="5" t="s">
        <v>324</v>
      </c>
      <c r="DR32">
        <v>0</v>
      </c>
    </row>
    <row r="33" spans="1:122" x14ac:dyDescent="0.25">
      <c r="A33" t="s">
        <v>176</v>
      </c>
      <c r="W33" t="s">
        <v>113</v>
      </c>
      <c r="DH33" s="6" t="s">
        <v>22</v>
      </c>
      <c r="DR33" s="7"/>
    </row>
    <row r="34" spans="1:122" x14ac:dyDescent="0.25">
      <c r="A34" t="s">
        <v>177</v>
      </c>
      <c r="BB34" t="s">
        <v>178</v>
      </c>
      <c r="DH34" t="s">
        <v>53</v>
      </c>
      <c r="DM34">
        <v>0</v>
      </c>
      <c r="DR34">
        <f>DM34</f>
        <v>0</v>
      </c>
    </row>
    <row r="35" spans="1:122" x14ac:dyDescent="0.25">
      <c r="A35" t="s">
        <v>179</v>
      </c>
      <c r="W35" t="s">
        <v>117</v>
      </c>
      <c r="DH35" s="6" t="s">
        <v>22</v>
      </c>
      <c r="DR35" s="7"/>
    </row>
    <row r="36" spans="1:122" x14ac:dyDescent="0.25">
      <c r="A36" t="s">
        <v>180</v>
      </c>
      <c r="W36" t="s">
        <v>113</v>
      </c>
      <c r="AG36" t="s">
        <v>181</v>
      </c>
      <c r="DH36" s="1" t="s">
        <v>32</v>
      </c>
      <c r="DI36" s="6" t="s">
        <v>22</v>
      </c>
      <c r="DM36">
        <v>0</v>
      </c>
      <c r="DR36">
        <f>DM36</f>
        <v>0</v>
      </c>
    </row>
    <row r="37" spans="1:122" x14ac:dyDescent="0.25">
      <c r="A37" t="s">
        <v>182</v>
      </c>
      <c r="W37" t="s">
        <v>113</v>
      </c>
      <c r="DH37" s="6" t="s">
        <v>22</v>
      </c>
      <c r="DR37" s="7"/>
    </row>
    <row r="38" spans="1:122" x14ac:dyDescent="0.25">
      <c r="A38" t="s">
        <v>183</v>
      </c>
      <c r="W38" t="s">
        <v>113</v>
      </c>
      <c r="BU38" t="s">
        <v>184</v>
      </c>
      <c r="DH38" t="s">
        <v>72</v>
      </c>
      <c r="DI38" s="6" t="s">
        <v>22</v>
      </c>
      <c r="DM38">
        <v>0</v>
      </c>
      <c r="DR38">
        <f>DM38</f>
        <v>0</v>
      </c>
    </row>
    <row r="39" spans="1:122" x14ac:dyDescent="0.25">
      <c r="A39" t="s">
        <v>187</v>
      </c>
      <c r="W39" t="s">
        <v>113</v>
      </c>
      <c r="DH39" s="6" t="s">
        <v>22</v>
      </c>
      <c r="DR39" s="7"/>
    </row>
    <row r="40" spans="1:122" x14ac:dyDescent="0.25">
      <c r="A40" t="s">
        <v>188</v>
      </c>
      <c r="W40" t="s">
        <v>113</v>
      </c>
      <c r="DH40" s="6" t="s">
        <v>22</v>
      </c>
      <c r="DR40" s="7"/>
    </row>
    <row r="41" spans="1:122" x14ac:dyDescent="0.25">
      <c r="A41" t="s">
        <v>189</v>
      </c>
      <c r="W41" t="s">
        <v>113</v>
      </c>
      <c r="DH41" s="6" t="s">
        <v>22</v>
      </c>
      <c r="DR41" s="7"/>
    </row>
    <row r="42" spans="1:122" x14ac:dyDescent="0.25">
      <c r="A42" t="s">
        <v>191</v>
      </c>
      <c r="Q42" t="s">
        <v>116</v>
      </c>
      <c r="W42" t="s">
        <v>113</v>
      </c>
      <c r="DH42" t="s">
        <v>16</v>
      </c>
      <c r="DI42" s="6" t="s">
        <v>22</v>
      </c>
      <c r="DM42">
        <v>2.5999999999999998E-4</v>
      </c>
      <c r="DN42">
        <v>0.56784000000000001</v>
      </c>
      <c r="DR42" s="16">
        <f>DM42</f>
        <v>2.5999999999999998E-4</v>
      </c>
    </row>
    <row r="43" spans="1:122" x14ac:dyDescent="0.25">
      <c r="A43" t="s">
        <v>192</v>
      </c>
      <c r="AA43" t="s">
        <v>113</v>
      </c>
      <c r="DH43" t="s">
        <v>26</v>
      </c>
      <c r="DM43">
        <v>0</v>
      </c>
      <c r="DR43">
        <f>DM43</f>
        <v>0</v>
      </c>
    </row>
    <row r="44" spans="1:122" x14ac:dyDescent="0.25">
      <c r="A44" t="s">
        <v>193</v>
      </c>
      <c r="W44" t="s">
        <v>113</v>
      </c>
      <c r="DH44" s="6" t="s">
        <v>22</v>
      </c>
      <c r="DR44" s="7"/>
    </row>
    <row r="45" spans="1:122" x14ac:dyDescent="0.25">
      <c r="A45" t="s">
        <v>194</v>
      </c>
      <c r="W45" t="s">
        <v>113</v>
      </c>
      <c r="CF45" t="s">
        <v>116</v>
      </c>
      <c r="DH45" t="s">
        <v>83</v>
      </c>
      <c r="DI45" s="6" t="s">
        <v>22</v>
      </c>
      <c r="DM45">
        <v>9.7E-5</v>
      </c>
      <c r="DN45">
        <v>0.56784000000000001</v>
      </c>
      <c r="DR45" s="16">
        <f>DM45</f>
        <v>9.7E-5</v>
      </c>
    </row>
    <row r="46" spans="1:122" x14ac:dyDescent="0.25">
      <c r="A46" t="s">
        <v>195</v>
      </c>
      <c r="Q46" t="s">
        <v>116</v>
      </c>
      <c r="R46" t="s">
        <v>114</v>
      </c>
      <c r="DH46" s="1" t="s">
        <v>16</v>
      </c>
      <c r="DI46" s="1" t="s">
        <v>17</v>
      </c>
      <c r="DM46">
        <v>2.5999999999999998E-4</v>
      </c>
      <c r="DN46">
        <v>0.31802000000000002</v>
      </c>
      <c r="DR46">
        <f>DM46*DN46</f>
        <v>8.2685199999999999E-5</v>
      </c>
    </row>
    <row r="47" spans="1:122" x14ac:dyDescent="0.25">
      <c r="A47" t="s">
        <v>196</v>
      </c>
      <c r="W47" t="s">
        <v>113</v>
      </c>
      <c r="DH47" s="6" t="s">
        <v>22</v>
      </c>
      <c r="DR47" s="7"/>
    </row>
    <row r="48" spans="1:122" x14ac:dyDescent="0.25">
      <c r="A48" t="s">
        <v>197</v>
      </c>
      <c r="W48" t="s">
        <v>113</v>
      </c>
      <c r="CC48" t="s">
        <v>113</v>
      </c>
      <c r="DH48" t="s">
        <v>80</v>
      </c>
      <c r="DI48" s="6" t="s">
        <v>22</v>
      </c>
      <c r="DM48">
        <v>0</v>
      </c>
      <c r="DR48">
        <f>DM48</f>
        <v>0</v>
      </c>
    </row>
    <row r="49" spans="1:122" x14ac:dyDescent="0.25">
      <c r="A49" t="s">
        <v>198</v>
      </c>
      <c r="W49" t="s">
        <v>113</v>
      </c>
      <c r="DH49" s="6" t="s">
        <v>22</v>
      </c>
      <c r="DR49" s="7"/>
    </row>
    <row r="50" spans="1:122" x14ac:dyDescent="0.25">
      <c r="A50" t="s">
        <v>199</v>
      </c>
      <c r="W50" t="s">
        <v>113</v>
      </c>
      <c r="AG50" t="s">
        <v>168</v>
      </c>
      <c r="DH50" t="s">
        <v>32</v>
      </c>
      <c r="DI50" s="6" t="s">
        <v>22</v>
      </c>
      <c r="DM50">
        <v>0</v>
      </c>
      <c r="DR50">
        <f>DM50</f>
        <v>0</v>
      </c>
    </row>
    <row r="51" spans="1:122" x14ac:dyDescent="0.25">
      <c r="A51" t="s">
        <v>200</v>
      </c>
      <c r="W51" t="s">
        <v>113</v>
      </c>
      <c r="DH51" s="6" t="s">
        <v>22</v>
      </c>
      <c r="DR51" s="7"/>
    </row>
    <row r="52" spans="1:122" x14ac:dyDescent="0.25">
      <c r="A52" t="s">
        <v>201</v>
      </c>
      <c r="AJ52" t="s">
        <v>202</v>
      </c>
      <c r="DH52" s="9" t="s">
        <v>317</v>
      </c>
      <c r="DR52" s="9"/>
    </row>
    <row r="53" spans="1:122" x14ac:dyDescent="0.25">
      <c r="A53" t="s">
        <v>203</v>
      </c>
      <c r="DG53" t="s">
        <v>204</v>
      </c>
      <c r="DH53" s="12" t="s">
        <v>203</v>
      </c>
      <c r="DR53" s="12"/>
    </row>
    <row r="54" spans="1:122" x14ac:dyDescent="0.25">
      <c r="A54" t="s">
        <v>205</v>
      </c>
      <c r="CI54" t="s">
        <v>114</v>
      </c>
      <c r="DH54" t="s">
        <v>86</v>
      </c>
      <c r="DM54">
        <v>4.4000000000000002E-4</v>
      </c>
      <c r="DR54">
        <f>DM54</f>
        <v>4.4000000000000002E-4</v>
      </c>
    </row>
    <row r="55" spans="1:122" x14ac:dyDescent="0.25">
      <c r="A55" t="s">
        <v>206</v>
      </c>
      <c r="DG55" t="s">
        <v>204</v>
      </c>
      <c r="DH55" s="12" t="s">
        <v>206</v>
      </c>
      <c r="DR55" s="12"/>
    </row>
    <row r="56" spans="1:122" x14ac:dyDescent="0.25">
      <c r="A56" t="s">
        <v>207</v>
      </c>
      <c r="W56" t="s">
        <v>113</v>
      </c>
      <c r="DH56" s="6" t="s">
        <v>22</v>
      </c>
      <c r="DR56" s="7"/>
    </row>
    <row r="57" spans="1:122" x14ac:dyDescent="0.25">
      <c r="A57" t="s">
        <v>208</v>
      </c>
      <c r="W57" t="s">
        <v>113</v>
      </c>
      <c r="DH57" s="6" t="s">
        <v>22</v>
      </c>
      <c r="DR57" s="7"/>
    </row>
    <row r="58" spans="1:122" x14ac:dyDescent="0.25">
      <c r="A58" t="s">
        <v>209</v>
      </c>
      <c r="DG58" t="s">
        <v>204</v>
      </c>
      <c r="DH58" s="12" t="s">
        <v>209</v>
      </c>
      <c r="DR58" s="12"/>
    </row>
    <row r="59" spans="1:122" x14ac:dyDescent="0.25">
      <c r="A59" t="s">
        <v>210</v>
      </c>
      <c r="W59" t="s">
        <v>113</v>
      </c>
      <c r="DH59" s="6" t="s">
        <v>22</v>
      </c>
      <c r="DR59" s="7"/>
    </row>
    <row r="60" spans="1:122" x14ac:dyDescent="0.25">
      <c r="A60" t="s">
        <v>211</v>
      </c>
      <c r="W60" t="s">
        <v>113</v>
      </c>
      <c r="DH60" s="6" t="s">
        <v>22</v>
      </c>
      <c r="DR60" s="7"/>
    </row>
    <row r="61" spans="1:122" x14ac:dyDescent="0.25">
      <c r="A61" t="s">
        <v>213</v>
      </c>
      <c r="W61" t="s">
        <v>113</v>
      </c>
      <c r="BY61" t="s">
        <v>116</v>
      </c>
      <c r="DH61" t="s">
        <v>76</v>
      </c>
      <c r="DI61" s="6" t="s">
        <v>22</v>
      </c>
      <c r="DM61">
        <v>3.4000000000000002E-4</v>
      </c>
      <c r="DR61" s="16">
        <f>DM61</f>
        <v>3.4000000000000002E-4</v>
      </c>
    </row>
    <row r="62" spans="1:122" x14ac:dyDescent="0.25">
      <c r="A62" t="s">
        <v>214</v>
      </c>
      <c r="W62" t="s">
        <v>113</v>
      </c>
      <c r="DH62" s="6" t="s">
        <v>22</v>
      </c>
      <c r="DR62" s="7"/>
    </row>
    <row r="63" spans="1:122" x14ac:dyDescent="0.25">
      <c r="A63" t="s">
        <v>215</v>
      </c>
      <c r="I63" t="s">
        <v>116</v>
      </c>
      <c r="DH63" s="13" t="s">
        <v>8</v>
      </c>
      <c r="DM63">
        <v>0.18057999999999999</v>
      </c>
      <c r="DR63" s="17">
        <f>DM63</f>
        <v>0.18057999999999999</v>
      </c>
    </row>
    <row r="64" spans="1:122" x14ac:dyDescent="0.25">
      <c r="A64" t="s">
        <v>217</v>
      </c>
      <c r="BD64" t="s">
        <v>116</v>
      </c>
      <c r="BE64" t="s">
        <v>116</v>
      </c>
      <c r="DH64" s="1" t="s">
        <v>55</v>
      </c>
      <c r="DI64" s="1" t="s">
        <v>56</v>
      </c>
      <c r="DM64">
        <v>1.2E-4</v>
      </c>
      <c r="DN64" s="3">
        <v>5.0000000000000002E-5</v>
      </c>
      <c r="DO64" s="3"/>
      <c r="DR64">
        <f>DM64*DN64</f>
        <v>6.0000000000000008E-9</v>
      </c>
    </row>
    <row r="65" spans="1:122" x14ac:dyDescent="0.25">
      <c r="A65" t="s">
        <v>218</v>
      </c>
      <c r="I65" t="s">
        <v>116</v>
      </c>
      <c r="J65" t="s">
        <v>115</v>
      </c>
      <c r="K65" t="s">
        <v>113</v>
      </c>
      <c r="L65" t="s">
        <v>114</v>
      </c>
      <c r="M65" t="s">
        <v>115</v>
      </c>
      <c r="DH65" s="1" t="s">
        <v>8</v>
      </c>
      <c r="DI65" s="1" t="s">
        <v>9</v>
      </c>
      <c r="DJ65" s="1" t="s">
        <v>10</v>
      </c>
      <c r="DK65" s="1" t="s">
        <v>11</v>
      </c>
      <c r="DL65" s="1" t="s">
        <v>12</v>
      </c>
      <c r="DM65">
        <v>0.18057999999999999</v>
      </c>
      <c r="DN65">
        <v>0.11741</v>
      </c>
      <c r="DO65">
        <v>4.8000000000000001E-4</v>
      </c>
      <c r="DP65">
        <v>4.0000000000000003E-5</v>
      </c>
      <c r="DQ65">
        <v>3.0000000000000001E-5</v>
      </c>
      <c r="DR65">
        <f>DM65*DN65*DO65*DP65*DQ65</f>
        <v>1.2212293132800002E-14</v>
      </c>
    </row>
    <row r="66" spans="1:122" s="5" customFormat="1" x14ac:dyDescent="0.25">
      <c r="A66" s="5" t="s">
        <v>219</v>
      </c>
      <c r="CO66" s="5" t="s">
        <v>113</v>
      </c>
      <c r="CQ66" s="5" t="s">
        <v>115</v>
      </c>
      <c r="CR66" s="5" t="s">
        <v>115</v>
      </c>
      <c r="CS66" s="5" t="s">
        <v>113</v>
      </c>
      <c r="CU66" s="5" t="s">
        <v>114</v>
      </c>
      <c r="CV66" s="5" t="s">
        <v>113</v>
      </c>
      <c r="CX66" s="5" t="s">
        <v>113</v>
      </c>
      <c r="CY66" s="5" t="s">
        <v>115</v>
      </c>
      <c r="CZ66" s="5" t="s">
        <v>113</v>
      </c>
      <c r="DA66" s="5" t="s">
        <v>116</v>
      </c>
      <c r="DB66" s="5" t="s">
        <v>115</v>
      </c>
      <c r="DC66" s="5" t="s">
        <v>113</v>
      </c>
      <c r="DD66" s="5" t="s">
        <v>114</v>
      </c>
      <c r="DH66" s="5" t="s">
        <v>324</v>
      </c>
      <c r="DR66">
        <v>0</v>
      </c>
    </row>
    <row r="67" spans="1:122" x14ac:dyDescent="0.25">
      <c r="A67" t="s">
        <v>220</v>
      </c>
      <c r="W67" t="s">
        <v>113</v>
      </c>
      <c r="AZ67" t="s">
        <v>116</v>
      </c>
      <c r="DH67" t="s">
        <v>51</v>
      </c>
      <c r="DI67" s="6" t="s">
        <v>22</v>
      </c>
      <c r="DM67">
        <v>0</v>
      </c>
      <c r="DR67">
        <f>DM67</f>
        <v>0</v>
      </c>
    </row>
    <row r="68" spans="1:122" x14ac:dyDescent="0.25">
      <c r="A68" t="s">
        <v>221</v>
      </c>
      <c r="W68" t="s">
        <v>113</v>
      </c>
      <c r="CW68" t="s">
        <v>115</v>
      </c>
      <c r="DH68" s="9" t="s">
        <v>100</v>
      </c>
      <c r="DI68" s="6" t="s">
        <v>22</v>
      </c>
      <c r="DR68" s="9"/>
    </row>
    <row r="69" spans="1:122" x14ac:dyDescent="0.25">
      <c r="A69" t="s">
        <v>222</v>
      </c>
      <c r="BD69" t="s">
        <v>116</v>
      </c>
      <c r="BE69" t="s">
        <v>116</v>
      </c>
      <c r="DH69" s="1" t="s">
        <v>55</v>
      </c>
      <c r="DI69" s="1" t="s">
        <v>56</v>
      </c>
      <c r="DM69">
        <v>1.2E-4</v>
      </c>
      <c r="DN69">
        <v>5.0000000000000002E-5</v>
      </c>
      <c r="DR69">
        <f>DM69*DN69</f>
        <v>6.0000000000000008E-9</v>
      </c>
    </row>
    <row r="70" spans="1:122" x14ac:dyDescent="0.25">
      <c r="A70" t="s">
        <v>223</v>
      </c>
      <c r="B70" t="s">
        <v>114</v>
      </c>
      <c r="W70" t="s">
        <v>113</v>
      </c>
      <c r="DH70" t="s">
        <v>1</v>
      </c>
      <c r="DI70" s="6" t="s">
        <v>22</v>
      </c>
      <c r="DM70">
        <v>0</v>
      </c>
      <c r="DR70">
        <f t="shared" ref="DR70:DR75" si="0">DM70</f>
        <v>0</v>
      </c>
    </row>
    <row r="71" spans="1:122" x14ac:dyDescent="0.25">
      <c r="A71" t="s">
        <v>224</v>
      </c>
      <c r="K71" t="s">
        <v>113</v>
      </c>
      <c r="W71" t="s">
        <v>113</v>
      </c>
      <c r="DH71" t="s">
        <v>10</v>
      </c>
      <c r="DI71" s="6" t="s">
        <v>22</v>
      </c>
      <c r="DM71">
        <v>4.8000000000000001E-4</v>
      </c>
      <c r="DR71" s="16">
        <f t="shared" si="0"/>
        <v>4.8000000000000001E-4</v>
      </c>
    </row>
    <row r="72" spans="1:122" x14ac:dyDescent="0.25">
      <c r="A72" t="s">
        <v>225</v>
      </c>
      <c r="X72" t="s">
        <v>113</v>
      </c>
      <c r="DH72" s="1" t="s">
        <v>23</v>
      </c>
      <c r="DI72" s="1"/>
      <c r="DM72">
        <v>2.3000000000000001E-4</v>
      </c>
      <c r="DR72">
        <f t="shared" si="0"/>
        <v>2.3000000000000001E-4</v>
      </c>
    </row>
    <row r="73" spans="1:122" x14ac:dyDescent="0.25">
      <c r="A73" t="s">
        <v>226</v>
      </c>
      <c r="Y73" t="s">
        <v>115</v>
      </c>
      <c r="DH73" s="1" t="s">
        <v>24</v>
      </c>
      <c r="DM73">
        <v>0</v>
      </c>
      <c r="DR73">
        <f t="shared" si="0"/>
        <v>0</v>
      </c>
    </row>
    <row r="74" spans="1:122" x14ac:dyDescent="0.25">
      <c r="A74" t="s">
        <v>227</v>
      </c>
      <c r="AB74" t="s">
        <v>113</v>
      </c>
      <c r="DH74" s="4" t="s">
        <v>318</v>
      </c>
      <c r="DM74">
        <v>1.699E-6</v>
      </c>
      <c r="DR74">
        <f t="shared" si="0"/>
        <v>1.699E-6</v>
      </c>
    </row>
    <row r="75" spans="1:122" x14ac:dyDescent="0.25">
      <c r="A75" t="s">
        <v>228</v>
      </c>
      <c r="AR75" t="s">
        <v>229</v>
      </c>
      <c r="DH75" s="4" t="s">
        <v>329</v>
      </c>
      <c r="DM75">
        <v>0</v>
      </c>
      <c r="DR75">
        <f t="shared" si="0"/>
        <v>0</v>
      </c>
    </row>
    <row r="76" spans="1:122" x14ac:dyDescent="0.25">
      <c r="A76" t="s">
        <v>230</v>
      </c>
      <c r="AX76" t="s">
        <v>113</v>
      </c>
      <c r="DH76" s="9" t="s">
        <v>49</v>
      </c>
      <c r="DR76" s="9"/>
    </row>
    <row r="77" spans="1:122" x14ac:dyDescent="0.25">
      <c r="A77" t="s">
        <v>231</v>
      </c>
      <c r="W77" t="s">
        <v>113</v>
      </c>
      <c r="BO77" t="s">
        <v>115</v>
      </c>
      <c r="DH77" t="s">
        <v>66</v>
      </c>
      <c r="DI77" s="6" t="s">
        <v>22</v>
      </c>
      <c r="DM77">
        <v>0</v>
      </c>
      <c r="DR77">
        <f>DM77</f>
        <v>0</v>
      </c>
    </row>
    <row r="78" spans="1:122" x14ac:dyDescent="0.25">
      <c r="A78" t="s">
        <v>232</v>
      </c>
      <c r="W78" t="s">
        <v>113</v>
      </c>
      <c r="BZ78" t="s">
        <v>116</v>
      </c>
      <c r="DH78" t="s">
        <v>77</v>
      </c>
      <c r="DI78" s="6" t="s">
        <v>22</v>
      </c>
      <c r="DM78">
        <v>1.1E-4</v>
      </c>
      <c r="DR78" s="16">
        <f>DM78</f>
        <v>1.1E-4</v>
      </c>
    </row>
    <row r="79" spans="1:122" x14ac:dyDescent="0.25">
      <c r="A79" t="s">
        <v>233</v>
      </c>
      <c r="CG79" t="s">
        <v>114</v>
      </c>
      <c r="DH79" t="s">
        <v>84</v>
      </c>
      <c r="DM79">
        <v>0</v>
      </c>
      <c r="DR79">
        <f>DM79</f>
        <v>0</v>
      </c>
    </row>
    <row r="80" spans="1:122" x14ac:dyDescent="0.25">
      <c r="A80" t="s">
        <v>234</v>
      </c>
      <c r="CM80" t="s">
        <v>116</v>
      </c>
      <c r="DH80" s="9" t="s">
        <v>90</v>
      </c>
      <c r="DR80" s="9"/>
    </row>
    <row r="81" spans="1:122" x14ac:dyDescent="0.25">
      <c r="A81" t="s">
        <v>235</v>
      </c>
      <c r="W81" t="s">
        <v>113</v>
      </c>
      <c r="CN81" t="s">
        <v>115</v>
      </c>
      <c r="DH81" s="9" t="s">
        <v>91</v>
      </c>
      <c r="DI81" s="6" t="s">
        <v>22</v>
      </c>
      <c r="DR81" s="9"/>
    </row>
    <row r="82" spans="1:122" x14ac:dyDescent="0.25">
      <c r="A82" t="s">
        <v>236</v>
      </c>
      <c r="H82" t="s">
        <v>113</v>
      </c>
      <c r="W82" t="s">
        <v>113</v>
      </c>
      <c r="DH82" t="s">
        <v>7</v>
      </c>
      <c r="DI82" s="6" t="s">
        <v>22</v>
      </c>
      <c r="DM82">
        <v>0</v>
      </c>
      <c r="DR82">
        <f>DM82</f>
        <v>0</v>
      </c>
    </row>
    <row r="83" spans="1:122" x14ac:dyDescent="0.25">
      <c r="A83" t="s">
        <v>237</v>
      </c>
      <c r="W83" t="s">
        <v>113</v>
      </c>
      <c r="BH83" t="s">
        <v>229</v>
      </c>
      <c r="DH83" t="s">
        <v>59</v>
      </c>
      <c r="DI83" s="6" t="s">
        <v>22</v>
      </c>
      <c r="DM83">
        <v>0</v>
      </c>
      <c r="DR83">
        <f>DM83</f>
        <v>0</v>
      </c>
    </row>
    <row r="84" spans="1:122" x14ac:dyDescent="0.25">
      <c r="A84" t="s">
        <v>238</v>
      </c>
      <c r="W84" t="s">
        <v>113</v>
      </c>
      <c r="BL84" t="s">
        <v>239</v>
      </c>
      <c r="DH84" t="s">
        <v>63</v>
      </c>
      <c r="DI84" s="6" t="s">
        <v>22</v>
      </c>
      <c r="DM84">
        <v>0</v>
      </c>
      <c r="DR84">
        <f>DM84</f>
        <v>0</v>
      </c>
    </row>
    <row r="85" spans="1:122" x14ac:dyDescent="0.25">
      <c r="A85" t="s">
        <v>240</v>
      </c>
      <c r="W85" t="s">
        <v>113</v>
      </c>
      <c r="DH85" s="6" t="s">
        <v>22</v>
      </c>
      <c r="DI85" s="8"/>
      <c r="DR85" s="7"/>
    </row>
    <row r="86" spans="1:122" x14ac:dyDescent="0.25">
      <c r="A86" t="s">
        <v>241</v>
      </c>
      <c r="W86" t="s">
        <v>113</v>
      </c>
      <c r="DH86" s="6" t="s">
        <v>22</v>
      </c>
      <c r="DR86" s="7"/>
    </row>
    <row r="87" spans="1:122" x14ac:dyDescent="0.25">
      <c r="A87" t="s">
        <v>242</v>
      </c>
      <c r="W87" t="s">
        <v>113</v>
      </c>
      <c r="AA87" t="s">
        <v>114</v>
      </c>
      <c r="DH87" t="s">
        <v>26</v>
      </c>
      <c r="DI87" s="6" t="s">
        <v>22</v>
      </c>
      <c r="DM87">
        <v>0</v>
      </c>
      <c r="DR87">
        <f>DM87</f>
        <v>0</v>
      </c>
    </row>
    <row r="88" spans="1:122" x14ac:dyDescent="0.25">
      <c r="A88" t="s">
        <v>243</v>
      </c>
      <c r="W88" t="s">
        <v>113</v>
      </c>
      <c r="BV88" t="s">
        <v>113</v>
      </c>
      <c r="DH88" t="s">
        <v>73</v>
      </c>
      <c r="DI88" s="6" t="s">
        <v>22</v>
      </c>
      <c r="DM88">
        <v>0</v>
      </c>
      <c r="DR88">
        <f>DM88</f>
        <v>0</v>
      </c>
    </row>
    <row r="89" spans="1:122" x14ac:dyDescent="0.25">
      <c r="A89" t="s">
        <v>244</v>
      </c>
      <c r="CF89" t="s">
        <v>116</v>
      </c>
      <c r="DH89" t="s">
        <v>83</v>
      </c>
      <c r="DM89">
        <v>9.7E-5</v>
      </c>
      <c r="DR89">
        <f>DM89</f>
        <v>9.7E-5</v>
      </c>
    </row>
    <row r="90" spans="1:122" x14ac:dyDescent="0.25">
      <c r="A90" t="s">
        <v>246</v>
      </c>
      <c r="BS90" t="s">
        <v>115</v>
      </c>
      <c r="BT90" t="s">
        <v>115</v>
      </c>
      <c r="DH90" s="1" t="s">
        <v>70</v>
      </c>
      <c r="DI90" s="1" t="s">
        <v>71</v>
      </c>
      <c r="DM90">
        <v>2.0500000000000002E-3</v>
      </c>
      <c r="DN90">
        <v>5.28E-3</v>
      </c>
      <c r="DR90">
        <f>DM90*DN90</f>
        <v>1.0824E-5</v>
      </c>
    </row>
    <row r="91" spans="1:122" x14ac:dyDescent="0.25">
      <c r="A91" t="s">
        <v>247</v>
      </c>
      <c r="BF91" t="s">
        <v>142</v>
      </c>
      <c r="DH91" t="s">
        <v>57</v>
      </c>
      <c r="DM91" s="3">
        <v>2.2120000000000001E-2</v>
      </c>
      <c r="DN91" s="3"/>
      <c r="DR91">
        <f t="shared" ref="DR91:DR96" si="1">DM91</f>
        <v>2.2120000000000001E-2</v>
      </c>
    </row>
    <row r="92" spans="1:122" x14ac:dyDescent="0.25">
      <c r="A92" t="s">
        <v>248</v>
      </c>
      <c r="CJ92" t="s">
        <v>116</v>
      </c>
      <c r="DH92" t="s">
        <v>87</v>
      </c>
      <c r="DM92">
        <v>4.0000000000000003E-5</v>
      </c>
      <c r="DR92">
        <f t="shared" si="1"/>
        <v>4.0000000000000003E-5</v>
      </c>
    </row>
    <row r="93" spans="1:122" x14ac:dyDescent="0.25">
      <c r="A93" t="s">
        <v>249</v>
      </c>
      <c r="N93" t="s">
        <v>116</v>
      </c>
      <c r="W93" t="s">
        <v>113</v>
      </c>
      <c r="DH93" t="s">
        <v>13</v>
      </c>
      <c r="DI93" s="6" t="s">
        <v>22</v>
      </c>
      <c r="DM93">
        <v>0</v>
      </c>
      <c r="DR93">
        <f t="shared" si="1"/>
        <v>0</v>
      </c>
    </row>
    <row r="94" spans="1:122" x14ac:dyDescent="0.25">
      <c r="A94" t="s">
        <v>250</v>
      </c>
      <c r="DE94" t="s">
        <v>114</v>
      </c>
      <c r="DH94" t="s">
        <v>108</v>
      </c>
      <c r="DM94">
        <v>6.0000000000000002E-5</v>
      </c>
      <c r="DR94">
        <f t="shared" si="1"/>
        <v>6.0000000000000002E-5</v>
      </c>
    </row>
    <row r="95" spans="1:122" x14ac:dyDescent="0.25">
      <c r="A95" t="s">
        <v>251</v>
      </c>
      <c r="CH95" t="s">
        <v>116</v>
      </c>
      <c r="DH95" t="s">
        <v>85</v>
      </c>
      <c r="DM95">
        <v>6.0000000000000002E-5</v>
      </c>
      <c r="DR95">
        <f t="shared" si="1"/>
        <v>6.0000000000000002E-5</v>
      </c>
    </row>
    <row r="96" spans="1:122" x14ac:dyDescent="0.25">
      <c r="A96" t="s">
        <v>252</v>
      </c>
      <c r="AF96" t="s">
        <v>116</v>
      </c>
      <c r="DH96" t="s">
        <v>31</v>
      </c>
      <c r="DM96">
        <v>4.0000000000000003E-5</v>
      </c>
      <c r="DR96">
        <f t="shared" si="1"/>
        <v>4.0000000000000003E-5</v>
      </c>
    </row>
    <row r="97" spans="1:122" x14ac:dyDescent="0.25">
      <c r="A97" t="s">
        <v>253</v>
      </c>
      <c r="BF97" t="s">
        <v>142</v>
      </c>
      <c r="BG97" t="s">
        <v>115</v>
      </c>
      <c r="DH97" s="1" t="s">
        <v>57</v>
      </c>
      <c r="DI97" s="1" t="s">
        <v>58</v>
      </c>
      <c r="DM97">
        <v>2.2120000000000001E-2</v>
      </c>
      <c r="DN97">
        <v>2.2000000000000001E-4</v>
      </c>
      <c r="DR97">
        <f>DM97*DN97</f>
        <v>4.8664000000000005E-6</v>
      </c>
    </row>
    <row r="98" spans="1:122" x14ac:dyDescent="0.25">
      <c r="A98" t="s">
        <v>254</v>
      </c>
      <c r="BM98" t="s">
        <v>113</v>
      </c>
      <c r="DH98" s="1" t="s">
        <v>64</v>
      </c>
      <c r="DI98" s="1"/>
      <c r="DM98">
        <v>4.2999999999999999E-4</v>
      </c>
      <c r="DR98">
        <f>DM98</f>
        <v>4.2999999999999999E-4</v>
      </c>
    </row>
    <row r="99" spans="1:122" x14ac:dyDescent="0.25">
      <c r="A99" t="s">
        <v>255</v>
      </c>
      <c r="W99" t="s">
        <v>113</v>
      </c>
      <c r="BN99" t="s">
        <v>116</v>
      </c>
      <c r="DH99" s="1" t="s">
        <v>65</v>
      </c>
      <c r="DI99" s="6" t="s">
        <v>22</v>
      </c>
      <c r="DM99">
        <v>1.0499999999999999E-3</v>
      </c>
      <c r="DR99" s="16">
        <f>DM99</f>
        <v>1.0499999999999999E-3</v>
      </c>
    </row>
    <row r="100" spans="1:122" x14ac:dyDescent="0.25">
      <c r="A100" t="s">
        <v>256</v>
      </c>
      <c r="BK100" t="s">
        <v>115</v>
      </c>
      <c r="DH100" s="9" t="s">
        <v>62</v>
      </c>
      <c r="DR100" s="9"/>
    </row>
    <row r="101" spans="1:122" x14ac:dyDescent="0.25">
      <c r="A101" t="s">
        <v>258</v>
      </c>
      <c r="C101" t="s">
        <v>229</v>
      </c>
      <c r="DH101" s="9" t="s">
        <v>2</v>
      </c>
      <c r="DR101" s="9"/>
    </row>
    <row r="102" spans="1:122" x14ac:dyDescent="0.25">
      <c r="A102" t="s">
        <v>259</v>
      </c>
      <c r="W102" t="s">
        <v>113</v>
      </c>
      <c r="AD102" t="s">
        <v>116</v>
      </c>
      <c r="AE102" t="s">
        <v>115</v>
      </c>
      <c r="DH102" s="1" t="s">
        <v>29</v>
      </c>
      <c r="DI102" s="1" t="s">
        <v>30</v>
      </c>
      <c r="DJ102" s="6" t="s">
        <v>22</v>
      </c>
      <c r="DK102" s="6"/>
      <c r="DL102" s="6"/>
      <c r="DM102">
        <v>1.6000000000000001E-3</v>
      </c>
      <c r="DN102">
        <v>1.7099999999999999E-3</v>
      </c>
      <c r="DR102" s="16">
        <f>DM102*DN102</f>
        <v>2.7360000000000001E-6</v>
      </c>
    </row>
    <row r="103" spans="1:122" x14ac:dyDescent="0.25">
      <c r="A103" t="s">
        <v>260</v>
      </c>
      <c r="BX103" t="s">
        <v>116</v>
      </c>
      <c r="DH103" t="s">
        <v>75</v>
      </c>
      <c r="DM103">
        <v>2.0559999999999998E-2</v>
      </c>
      <c r="DR103">
        <f>DM103</f>
        <v>2.0559999999999998E-2</v>
      </c>
    </row>
    <row r="104" spans="1:122" x14ac:dyDescent="0.25">
      <c r="A104" t="s">
        <v>261</v>
      </c>
      <c r="W104" t="s">
        <v>113</v>
      </c>
      <c r="BJ104" t="s">
        <v>113</v>
      </c>
      <c r="DH104" t="s">
        <v>61</v>
      </c>
      <c r="DI104" s="6" t="s">
        <v>22</v>
      </c>
      <c r="DM104">
        <v>0</v>
      </c>
      <c r="DR104">
        <f>DM104</f>
        <v>0</v>
      </c>
    </row>
    <row r="105" spans="1:122" x14ac:dyDescent="0.25">
      <c r="A105" t="s">
        <v>262</v>
      </c>
      <c r="AP105" t="s">
        <v>120</v>
      </c>
      <c r="CA105" t="s">
        <v>263</v>
      </c>
      <c r="DH105" t="s">
        <v>41</v>
      </c>
      <c r="DI105" t="s">
        <v>78</v>
      </c>
      <c r="DM105" s="3">
        <v>6.2599999999999999E-3</v>
      </c>
      <c r="DN105">
        <v>2.7999999999999998E-4</v>
      </c>
      <c r="DR105">
        <f>DM105*DN105</f>
        <v>1.7527999999999998E-6</v>
      </c>
    </row>
    <row r="106" spans="1:122" x14ac:dyDescent="0.25">
      <c r="A106" t="s">
        <v>264</v>
      </c>
      <c r="W106" t="s">
        <v>113</v>
      </c>
      <c r="CK106" t="s">
        <v>116</v>
      </c>
      <c r="DH106" t="s">
        <v>88</v>
      </c>
      <c r="DI106" s="6" t="s">
        <v>22</v>
      </c>
      <c r="DM106">
        <v>1.2999999999999999E-4</v>
      </c>
      <c r="DR106" s="16">
        <f>DM106</f>
        <v>1.2999999999999999E-4</v>
      </c>
    </row>
    <row r="107" spans="1:122" x14ac:dyDescent="0.25">
      <c r="A107" t="s">
        <v>265</v>
      </c>
      <c r="V107" t="s">
        <v>114</v>
      </c>
      <c r="W107" t="s">
        <v>113</v>
      </c>
      <c r="DH107" t="s">
        <v>21</v>
      </c>
      <c r="DI107" s="6" t="s">
        <v>22</v>
      </c>
      <c r="DM107">
        <v>1.4999999999999999E-4</v>
      </c>
      <c r="DR107" s="16">
        <f>DM107</f>
        <v>1.4999999999999999E-4</v>
      </c>
    </row>
    <row r="108" spans="1:122" x14ac:dyDescent="0.25">
      <c r="A108" t="s">
        <v>266</v>
      </c>
      <c r="BT108" t="s">
        <v>115</v>
      </c>
      <c r="DH108" t="s">
        <v>71</v>
      </c>
      <c r="DM108">
        <v>5.28E-3</v>
      </c>
      <c r="DR108">
        <f>DM108</f>
        <v>5.28E-3</v>
      </c>
    </row>
    <row r="109" spans="1:122" x14ac:dyDescent="0.25">
      <c r="A109" t="s">
        <v>267</v>
      </c>
      <c r="G109" t="s">
        <v>115</v>
      </c>
      <c r="W109" t="s">
        <v>113</v>
      </c>
      <c r="DH109" t="s">
        <v>6</v>
      </c>
      <c r="DI109" s="6" t="s">
        <v>22</v>
      </c>
      <c r="DM109">
        <v>9.5999999999999996E-6</v>
      </c>
      <c r="DR109" s="16">
        <f>DM109</f>
        <v>9.5999999999999996E-6</v>
      </c>
    </row>
    <row r="110" spans="1:122" x14ac:dyDescent="0.25">
      <c r="A110" t="s">
        <v>268</v>
      </c>
      <c r="U110" t="s">
        <v>116</v>
      </c>
      <c r="W110" t="s">
        <v>113</v>
      </c>
      <c r="DH110" t="s">
        <v>20</v>
      </c>
      <c r="DI110" s="6" t="s">
        <v>22</v>
      </c>
      <c r="DM110">
        <v>0</v>
      </c>
      <c r="DR110">
        <f>DM110</f>
        <v>0</v>
      </c>
    </row>
    <row r="111" spans="1:122" x14ac:dyDescent="0.25">
      <c r="A111" t="s">
        <v>269</v>
      </c>
      <c r="AK111" t="s">
        <v>113</v>
      </c>
      <c r="AL111" t="s">
        <v>114</v>
      </c>
      <c r="DH111" s="4" t="s">
        <v>320</v>
      </c>
      <c r="DI111" s="4" t="s">
        <v>321</v>
      </c>
      <c r="DJ111" s="4"/>
      <c r="DK111" s="4"/>
      <c r="DL111" s="4"/>
      <c r="DM111">
        <v>0</v>
      </c>
      <c r="DN111">
        <v>0</v>
      </c>
      <c r="DR111">
        <f>DM111*DN111</f>
        <v>0</v>
      </c>
    </row>
    <row r="112" spans="1:122" x14ac:dyDescent="0.25">
      <c r="A112" t="s">
        <v>270</v>
      </c>
      <c r="AW112" t="s">
        <v>113</v>
      </c>
      <c r="DH112" t="s">
        <v>48</v>
      </c>
      <c r="DM112">
        <v>8.4000000000000003E-4</v>
      </c>
      <c r="DR112">
        <f>DM112</f>
        <v>8.4000000000000003E-4</v>
      </c>
    </row>
    <row r="113" spans="1:122" x14ac:dyDescent="0.25">
      <c r="A113" t="s">
        <v>271</v>
      </c>
      <c r="W113" t="s">
        <v>113</v>
      </c>
      <c r="BG113" t="s">
        <v>115</v>
      </c>
      <c r="DH113" t="s">
        <v>58</v>
      </c>
      <c r="DI113" s="6" t="s">
        <v>22</v>
      </c>
      <c r="DM113">
        <v>2.2000000000000001E-4</v>
      </c>
      <c r="DR113" s="16">
        <f>DM113</f>
        <v>2.2000000000000001E-4</v>
      </c>
    </row>
    <row r="114" spans="1:122" x14ac:dyDescent="0.25">
      <c r="A114" t="s">
        <v>272</v>
      </c>
      <c r="W114" t="s">
        <v>113</v>
      </c>
      <c r="BQ114" t="s">
        <v>116</v>
      </c>
      <c r="DH114" s="4" t="s">
        <v>322</v>
      </c>
      <c r="DI114" s="6" t="s">
        <v>22</v>
      </c>
      <c r="DM114" s="11">
        <v>8.484E-7</v>
      </c>
      <c r="DR114" s="18">
        <f>DM114</f>
        <v>8.484E-7</v>
      </c>
    </row>
    <row r="115" spans="1:122" x14ac:dyDescent="0.25">
      <c r="A115" t="s">
        <v>273</v>
      </c>
      <c r="BR115" t="s">
        <v>116</v>
      </c>
      <c r="DH115" t="s">
        <v>69</v>
      </c>
      <c r="DM115">
        <v>2.0000000000000002E-5</v>
      </c>
      <c r="DR115">
        <f>DM115</f>
        <v>2.0000000000000002E-5</v>
      </c>
    </row>
    <row r="116" spans="1:122" x14ac:dyDescent="0.25">
      <c r="A116" t="s">
        <v>274</v>
      </c>
      <c r="W116" t="s">
        <v>113</v>
      </c>
      <c r="CE116" t="s">
        <v>114</v>
      </c>
      <c r="DH116" t="s">
        <v>82</v>
      </c>
      <c r="DI116" s="6" t="s">
        <v>22</v>
      </c>
      <c r="DM116">
        <v>1E-4</v>
      </c>
      <c r="DR116" s="16">
        <f>DM116</f>
        <v>1E-4</v>
      </c>
    </row>
    <row r="117" spans="1:122" x14ac:dyDescent="0.25">
      <c r="A117" t="s">
        <v>275</v>
      </c>
      <c r="W117" t="s">
        <v>113</v>
      </c>
      <c r="DH117" s="6" t="s">
        <v>22</v>
      </c>
      <c r="DR117" s="7"/>
    </row>
    <row r="118" spans="1:122" x14ac:dyDescent="0.25">
      <c r="A118" t="s">
        <v>276</v>
      </c>
      <c r="DF118" t="s">
        <v>116</v>
      </c>
      <c r="DH118" t="s">
        <v>109</v>
      </c>
      <c r="DM118">
        <v>0</v>
      </c>
      <c r="DR118">
        <f>DM118</f>
        <v>0</v>
      </c>
    </row>
    <row r="119" spans="1:122" x14ac:dyDescent="0.25">
      <c r="A119" t="s">
        <v>277</v>
      </c>
      <c r="W119" t="s">
        <v>113</v>
      </c>
      <c r="CT119" t="s">
        <v>116</v>
      </c>
      <c r="DH119" t="s">
        <v>97</v>
      </c>
      <c r="DI119" s="6" t="s">
        <v>22</v>
      </c>
      <c r="DM119">
        <v>1.6000000000000001E-4</v>
      </c>
      <c r="DR119" s="16">
        <f>DM119</f>
        <v>1.6000000000000001E-4</v>
      </c>
    </row>
    <row r="120" spans="1:122" x14ac:dyDescent="0.25">
      <c r="A120" t="s">
        <v>279</v>
      </c>
      <c r="AV120" t="s">
        <v>114</v>
      </c>
      <c r="DH120" t="s">
        <v>47</v>
      </c>
      <c r="DM120">
        <v>0</v>
      </c>
      <c r="DR120">
        <f>DM120</f>
        <v>0</v>
      </c>
    </row>
    <row r="121" spans="1:122" s="5" customFormat="1" x14ac:dyDescent="0.25">
      <c r="A121" s="5" t="s">
        <v>280</v>
      </c>
      <c r="W121" s="5" t="s">
        <v>113</v>
      </c>
      <c r="CD121" s="5" t="s">
        <v>116</v>
      </c>
      <c r="CO121" s="5" t="s">
        <v>113</v>
      </c>
      <c r="CQ121" s="5" t="s">
        <v>115</v>
      </c>
      <c r="CR121" s="5" t="s">
        <v>115</v>
      </c>
      <c r="CS121" s="5" t="s">
        <v>113</v>
      </c>
      <c r="CU121" s="5" t="s">
        <v>114</v>
      </c>
      <c r="CV121" s="5" t="s">
        <v>113</v>
      </c>
      <c r="CX121" s="5" t="s">
        <v>113</v>
      </c>
      <c r="CY121" s="5" t="s">
        <v>115</v>
      </c>
      <c r="CZ121" s="5" t="s">
        <v>113</v>
      </c>
      <c r="DA121" s="5" t="s">
        <v>116</v>
      </c>
      <c r="DB121" s="5" t="s">
        <v>115</v>
      </c>
      <c r="DC121" s="5" t="s">
        <v>113</v>
      </c>
      <c r="DD121" s="5" t="s">
        <v>114</v>
      </c>
      <c r="DH121" s="5" t="s">
        <v>324</v>
      </c>
      <c r="DR121">
        <v>0</v>
      </c>
    </row>
    <row r="122" spans="1:122" x14ac:dyDescent="0.25">
      <c r="A122" t="s">
        <v>281</v>
      </c>
      <c r="W122" t="s">
        <v>113</v>
      </c>
      <c r="DH122" s="6" t="s">
        <v>22</v>
      </c>
      <c r="DR122" s="7"/>
    </row>
    <row r="123" spans="1:122" x14ac:dyDescent="0.25">
      <c r="A123" t="s">
        <v>282</v>
      </c>
      <c r="S123" t="s">
        <v>115</v>
      </c>
      <c r="DH123" t="s">
        <v>18</v>
      </c>
      <c r="DM123">
        <v>0</v>
      </c>
      <c r="DR123">
        <f>DM123</f>
        <v>0</v>
      </c>
    </row>
    <row r="124" spans="1:122" x14ac:dyDescent="0.25">
      <c r="A124" t="s">
        <v>283</v>
      </c>
      <c r="AS124" t="s">
        <v>116</v>
      </c>
      <c r="DH124" t="s">
        <v>44</v>
      </c>
      <c r="DM124">
        <v>0</v>
      </c>
      <c r="DR124">
        <f>DM124</f>
        <v>0</v>
      </c>
    </row>
    <row r="125" spans="1:122" x14ac:dyDescent="0.25">
      <c r="A125" t="s">
        <v>284</v>
      </c>
      <c r="AG125" t="s">
        <v>168</v>
      </c>
      <c r="DH125" t="s">
        <v>32</v>
      </c>
      <c r="DM125">
        <v>0</v>
      </c>
      <c r="DR125">
        <f>DM125</f>
        <v>0</v>
      </c>
    </row>
    <row r="126" spans="1:122" x14ac:dyDescent="0.25">
      <c r="A126" t="s">
        <v>285</v>
      </c>
      <c r="W126" t="s">
        <v>117</v>
      </c>
      <c r="DH126" s="6" t="s">
        <v>22</v>
      </c>
      <c r="DI126" s="10"/>
      <c r="DR126" s="7"/>
    </row>
    <row r="127" spans="1:122" x14ac:dyDescent="0.25">
      <c r="A127" t="s">
        <v>286</v>
      </c>
      <c r="W127" t="s">
        <v>113</v>
      </c>
      <c r="AG127" t="s">
        <v>168</v>
      </c>
      <c r="DH127" t="s">
        <v>32</v>
      </c>
      <c r="DI127" s="6" t="s">
        <v>22</v>
      </c>
      <c r="DM127">
        <v>0</v>
      </c>
      <c r="DR127">
        <f>DM127</f>
        <v>0</v>
      </c>
    </row>
    <row r="128" spans="1:122" x14ac:dyDescent="0.25">
      <c r="A128" t="s">
        <v>287</v>
      </c>
      <c r="W128" t="s">
        <v>113</v>
      </c>
      <c r="CD128" t="s">
        <v>116</v>
      </c>
      <c r="DH128" t="s">
        <v>81</v>
      </c>
      <c r="DI128" s="6" t="s">
        <v>22</v>
      </c>
      <c r="DM128">
        <v>1.7600000000000001E-3</v>
      </c>
      <c r="DR128" s="16">
        <f>DM128</f>
        <v>1.7600000000000001E-3</v>
      </c>
    </row>
    <row r="129" spans="1:122" x14ac:dyDescent="0.25">
      <c r="A129" t="s">
        <v>288</v>
      </c>
      <c r="W129" t="s">
        <v>113</v>
      </c>
      <c r="DH129" s="6" t="s">
        <v>22</v>
      </c>
      <c r="DR129" s="7"/>
    </row>
    <row r="130" spans="1:122" x14ac:dyDescent="0.25">
      <c r="A130" t="s">
        <v>289</v>
      </c>
      <c r="W130" t="s">
        <v>117</v>
      </c>
      <c r="AN130" t="s">
        <v>156</v>
      </c>
      <c r="AP130" t="s">
        <v>114</v>
      </c>
      <c r="DH130" s="1" t="s">
        <v>39</v>
      </c>
      <c r="DI130" s="1" t="s">
        <v>41</v>
      </c>
      <c r="DJ130" s="6" t="s">
        <v>22</v>
      </c>
      <c r="DK130" s="6"/>
      <c r="DL130" s="6"/>
      <c r="DM130">
        <v>4.9100000000000003E-3</v>
      </c>
      <c r="DN130">
        <v>6.2599999999999999E-3</v>
      </c>
      <c r="DR130">
        <f>DM130*DN130</f>
        <v>3.07366E-5</v>
      </c>
    </row>
    <row r="131" spans="1:122" x14ac:dyDescent="0.25">
      <c r="A131" t="s">
        <v>290</v>
      </c>
      <c r="AI131" t="s">
        <v>115</v>
      </c>
      <c r="DH131" t="s">
        <v>34</v>
      </c>
      <c r="DM131">
        <v>0</v>
      </c>
      <c r="DR131">
        <f>DM131</f>
        <v>0</v>
      </c>
    </row>
    <row r="132" spans="1:122" x14ac:dyDescent="0.25">
      <c r="A132" t="s">
        <v>291</v>
      </c>
      <c r="AT132" t="s">
        <v>114</v>
      </c>
      <c r="DH132" t="s">
        <v>45</v>
      </c>
      <c r="DM132">
        <v>0</v>
      </c>
      <c r="DR132">
        <f>DM132</f>
        <v>0</v>
      </c>
    </row>
    <row r="133" spans="1:122" x14ac:dyDescent="0.25">
      <c r="A133" t="s">
        <v>292</v>
      </c>
      <c r="AQ133" t="s">
        <v>116</v>
      </c>
      <c r="DH133" t="s">
        <v>42</v>
      </c>
      <c r="DM133">
        <v>0</v>
      </c>
      <c r="DR133">
        <f>DM133</f>
        <v>0</v>
      </c>
    </row>
    <row r="134" spans="1:122" x14ac:dyDescent="0.25">
      <c r="A134" t="s">
        <v>293</v>
      </c>
      <c r="W134" t="s">
        <v>113</v>
      </c>
      <c r="DH134" s="6" t="s">
        <v>22</v>
      </c>
      <c r="DI134" s="8"/>
      <c r="DR134" s="7"/>
    </row>
    <row r="135" spans="1:122" x14ac:dyDescent="0.25">
      <c r="A135" t="s">
        <v>294</v>
      </c>
      <c r="W135" t="s">
        <v>113</v>
      </c>
      <c r="CL135" t="s">
        <v>116</v>
      </c>
      <c r="DH135" t="s">
        <v>89</v>
      </c>
      <c r="DI135" s="6" t="s">
        <v>22</v>
      </c>
      <c r="DM135">
        <v>0</v>
      </c>
      <c r="DR135">
        <f>DM135</f>
        <v>0</v>
      </c>
    </row>
    <row r="136" spans="1:122" x14ac:dyDescent="0.25">
      <c r="A136" t="s">
        <v>295</v>
      </c>
      <c r="F136" t="s">
        <v>114</v>
      </c>
      <c r="W136" t="s">
        <v>113</v>
      </c>
      <c r="DH136" t="s">
        <v>5</v>
      </c>
      <c r="DI136" s="6" t="s">
        <v>22</v>
      </c>
      <c r="DM136">
        <v>0</v>
      </c>
      <c r="DR136">
        <f>DM136</f>
        <v>0</v>
      </c>
    </row>
    <row r="137" spans="1:122" x14ac:dyDescent="0.25">
      <c r="A137" t="s">
        <v>296</v>
      </c>
      <c r="W137" t="s">
        <v>113</v>
      </c>
      <c r="AC137" t="s">
        <v>114</v>
      </c>
      <c r="DH137" t="s">
        <v>28</v>
      </c>
      <c r="DI137" s="6" t="s">
        <v>22</v>
      </c>
      <c r="DM137">
        <v>0</v>
      </c>
      <c r="DR137">
        <f>DM137</f>
        <v>0</v>
      </c>
    </row>
    <row r="138" spans="1:122" x14ac:dyDescent="0.25">
      <c r="A138" t="s">
        <v>297</v>
      </c>
      <c r="W138" t="s">
        <v>113</v>
      </c>
      <c r="BP138" t="s">
        <v>113</v>
      </c>
      <c r="DH138" t="s">
        <v>67</v>
      </c>
      <c r="DI138" s="6" t="s">
        <v>22</v>
      </c>
      <c r="DM138">
        <v>0</v>
      </c>
      <c r="DR138">
        <f>DM138</f>
        <v>0</v>
      </c>
    </row>
    <row r="139" spans="1:122" x14ac:dyDescent="0.25">
      <c r="A139" t="s">
        <v>298</v>
      </c>
      <c r="D139" t="s">
        <v>114</v>
      </c>
      <c r="W139" t="s">
        <v>113</v>
      </c>
      <c r="DH139" t="s">
        <v>3</v>
      </c>
      <c r="DI139" s="6" t="s">
        <v>22</v>
      </c>
      <c r="DM139">
        <v>0</v>
      </c>
      <c r="DR139">
        <f>DM139</f>
        <v>0</v>
      </c>
    </row>
    <row r="140" spans="1:122" x14ac:dyDescent="0.25">
      <c r="A140" t="s">
        <v>299</v>
      </c>
      <c r="I140" t="s">
        <v>116</v>
      </c>
      <c r="J140" t="s">
        <v>115</v>
      </c>
      <c r="W140" t="s">
        <v>113</v>
      </c>
      <c r="DH140" s="14" t="s">
        <v>8</v>
      </c>
      <c r="DI140" s="1" t="s">
        <v>9</v>
      </c>
      <c r="DJ140" s="6" t="s">
        <v>22</v>
      </c>
      <c r="DK140" s="6"/>
      <c r="DL140" s="6"/>
      <c r="DM140">
        <v>0.18057999999999999</v>
      </c>
      <c r="DN140">
        <v>0.11741</v>
      </c>
      <c r="DR140" s="17">
        <f>DN140*DM140</f>
        <v>2.1201897799999998E-2</v>
      </c>
    </row>
    <row r="141" spans="1:122" x14ac:dyDescent="0.25">
      <c r="A141" t="s">
        <v>300</v>
      </c>
      <c r="W141" t="s">
        <v>113</v>
      </c>
      <c r="BC141" t="s">
        <v>150</v>
      </c>
      <c r="DH141" t="s">
        <v>54</v>
      </c>
      <c r="DI141" s="6" t="s">
        <v>22</v>
      </c>
      <c r="DM141">
        <v>0</v>
      </c>
      <c r="DR141">
        <f>DM141</f>
        <v>0</v>
      </c>
    </row>
    <row r="142" spans="1:122" x14ac:dyDescent="0.25">
      <c r="A142" t="s">
        <v>301</v>
      </c>
      <c r="W142" t="s">
        <v>113</v>
      </c>
      <c r="CD142" t="s">
        <v>116</v>
      </c>
      <c r="DH142" t="s">
        <v>81</v>
      </c>
      <c r="DI142" s="6" t="s">
        <v>22</v>
      </c>
      <c r="DM142">
        <v>1.7600000000000001E-3</v>
      </c>
      <c r="DR142" s="16">
        <f>DM142</f>
        <v>1.7600000000000001E-3</v>
      </c>
    </row>
    <row r="143" spans="1:122" x14ac:dyDescent="0.25">
      <c r="A143" t="s">
        <v>302</v>
      </c>
      <c r="T143" t="s">
        <v>113</v>
      </c>
      <c r="W143" t="s">
        <v>113</v>
      </c>
      <c r="DH143" t="s">
        <v>19</v>
      </c>
      <c r="DI143" s="6" t="s">
        <v>22</v>
      </c>
      <c r="DR143">
        <v>0</v>
      </c>
    </row>
    <row r="144" spans="1:122" x14ac:dyDescent="0.25">
      <c r="A144" t="s">
        <v>303</v>
      </c>
      <c r="W144" t="s">
        <v>113</v>
      </c>
      <c r="DH144" s="6" t="s">
        <v>22</v>
      </c>
      <c r="DI144" s="8"/>
      <c r="DR144" s="7"/>
    </row>
    <row r="145" spans="1:122" x14ac:dyDescent="0.25">
      <c r="A145" t="s">
        <v>304</v>
      </c>
      <c r="W145" t="s">
        <v>113</v>
      </c>
      <c r="AH145" t="s">
        <v>116</v>
      </c>
      <c r="DH145" t="s">
        <v>33</v>
      </c>
      <c r="DI145" s="6" t="s">
        <v>22</v>
      </c>
      <c r="DM145">
        <v>0</v>
      </c>
      <c r="DR145">
        <f>DM145</f>
        <v>0</v>
      </c>
    </row>
    <row r="146" spans="1:122" x14ac:dyDescent="0.25">
      <c r="A146" t="s">
        <v>305</v>
      </c>
      <c r="W146" t="s">
        <v>113</v>
      </c>
      <c r="AU146" t="s">
        <v>306</v>
      </c>
      <c r="DH146" t="s">
        <v>46</v>
      </c>
      <c r="DI146" s="6" t="s">
        <v>22</v>
      </c>
      <c r="DM146">
        <v>0</v>
      </c>
      <c r="DR146">
        <f>DM146</f>
        <v>0</v>
      </c>
    </row>
    <row r="147" spans="1:122" x14ac:dyDescent="0.25">
      <c r="A147" t="s">
        <v>307</v>
      </c>
      <c r="P147" t="s">
        <v>115</v>
      </c>
      <c r="DH147" s="9" t="s">
        <v>323</v>
      </c>
      <c r="DR147" s="9"/>
    </row>
    <row r="148" spans="1:122" x14ac:dyDescent="0.25">
      <c r="A148" t="s">
        <v>308</v>
      </c>
      <c r="AM148" t="s">
        <v>116</v>
      </c>
      <c r="DH148" t="s">
        <v>38</v>
      </c>
      <c r="DM148">
        <v>0</v>
      </c>
      <c r="DR148">
        <f>DM148</f>
        <v>0</v>
      </c>
    </row>
    <row r="149" spans="1:122" x14ac:dyDescent="0.25">
      <c r="A149" t="s">
        <v>309</v>
      </c>
      <c r="CB149" t="s">
        <v>113</v>
      </c>
      <c r="DH149" t="s">
        <v>79</v>
      </c>
      <c r="DM149">
        <v>0</v>
      </c>
      <c r="DR149">
        <f>DM149</f>
        <v>0</v>
      </c>
    </row>
    <row r="150" spans="1:122" x14ac:dyDescent="0.25">
      <c r="A150" t="s">
        <v>311</v>
      </c>
      <c r="W150" t="s">
        <v>113</v>
      </c>
      <c r="DH150" s="6" t="s">
        <v>22</v>
      </c>
      <c r="DI150" s="10"/>
      <c r="DR150" s="7"/>
    </row>
    <row r="151" spans="1:122" x14ac:dyDescent="0.25">
      <c r="A151" t="s">
        <v>312</v>
      </c>
      <c r="O151" t="s">
        <v>113</v>
      </c>
      <c r="W151" t="s">
        <v>113</v>
      </c>
      <c r="DH151" t="s">
        <v>14</v>
      </c>
      <c r="DI151" s="6" t="s">
        <v>22</v>
      </c>
      <c r="DM151">
        <v>4.0000000000000003E-5</v>
      </c>
      <c r="DR151" s="16">
        <f>DM151</f>
        <v>4.0000000000000003E-5</v>
      </c>
    </row>
    <row r="152" spans="1:122" x14ac:dyDescent="0.25">
      <c r="DR152">
        <f>(SUM(DR6:DR151))*100</f>
        <v>30.004165820001223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Salida_R</vt:lpstr>
      <vt:lpstr>Filtrada</vt:lpstr>
      <vt:lpstr>SNP-alelo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2026-04-09T12:49:20Z</dcterms:created>
  <dcterms:modified xsi:type="dcterms:W3CDTF">2026-06-15T11:55:25Z</dcterms:modified>
</cp:coreProperties>
</file>