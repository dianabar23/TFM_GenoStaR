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Y:\ctoma\Fobos\Proyecto_Diana\TFM_GenoStaR\CYPs\CYP3A5\"/>
    </mc:Choice>
  </mc:AlternateContent>
  <bookViews>
    <workbookView xWindow="0" yWindow="0" windowWidth="20445" windowHeight="7275"/>
  </bookViews>
  <sheets>
    <sheet name="Allele frequency" sheetId="1" r:id="rId1"/>
    <sheet name="Diplotype frequency" sheetId="2" r:id="rId2"/>
    <sheet name="Phenotype frequency" sheetId="3" r:id="rId3"/>
    <sheet name="References" sheetId="4" r:id="rId4"/>
    <sheet name="Methods and Caveats" sheetId="5" r:id="rId5"/>
    <sheet name="Notes" sheetId="6" r:id="rId6"/>
    <sheet name="Change log" sheetId="7" r:id="rId7"/>
  </sheets>
  <definedNames>
    <definedName name="_xlnm._FilterDatabase" localSheetId="0" hidden="1">'Allele frequency'!$A$1:$I$1</definedName>
  </definedNames>
  <calcPr calcId="162913"/>
</workbook>
</file>

<file path=xl/calcChain.xml><?xml version="1.0" encoding="utf-8"?>
<calcChain xmlns="http://schemas.openxmlformats.org/spreadsheetml/2006/main">
  <c r="E3" i="1" l="1"/>
  <c r="E4" i="1"/>
  <c r="E5" i="1"/>
  <c r="E2" i="1"/>
</calcChain>
</file>

<file path=xl/sharedStrings.xml><?xml version="1.0" encoding="utf-8"?>
<sst xmlns="http://schemas.openxmlformats.org/spreadsheetml/2006/main" count="2068" uniqueCount="810">
  <si>
    <t>CYP3A5 allele</t>
  </si>
  <si>
    <t>African American/Afro-Caribbean</t>
  </si>
  <si>
    <t>Central/South Asian</t>
  </si>
  <si>
    <t>East Asian</t>
  </si>
  <si>
    <t>European</t>
  </si>
  <si>
    <t>Latino</t>
  </si>
  <si>
    <t>Near Eastern</t>
  </si>
  <si>
    <t>Sub-Saharan African</t>
  </si>
  <si>
    <t>*1</t>
  </si>
  <si>
    <t>0.4528548</t>
  </si>
  <si>
    <t>0.32672024</t>
  </si>
  <si>
    <t>0.25355196</t>
  </si>
  <si>
    <t>0.17279238</t>
  </si>
  <si>
    <t>0.121941924</t>
  </si>
  <si>
    <t>0.47940862</t>
  </si>
  <si>
    <t>*3</t>
  </si>
  <si>
    <t>0.31597915</t>
  </si>
  <si>
    <t>0.67327976</t>
  </si>
  <si>
    <t>0.7457923</t>
  </si>
  <si>
    <t>0.7651353</t>
  </si>
  <si>
    <t>0.83611745</t>
  </si>
  <si>
    <t>0.24094562</t>
  </si>
  <si>
    <t>*6</t>
  </si>
  <si>
    <t>0.11116607</t>
  </si>
  <si>
    <t>0.0</t>
  </si>
  <si>
    <t>0.0006557377</t>
  </si>
  <si>
    <t>0.037054006</t>
  </si>
  <si>
    <t>0.038085584</t>
  </si>
  <si>
    <t>0.19323565</t>
  </si>
  <si>
    <t>*7</t>
  </si>
  <si>
    <t>0.12</t>
  </si>
  <si>
    <t>0.02501835</t>
  </si>
  <si>
    <t>0.00385505</t>
  </si>
  <si>
    <t>0.08641013</t>
  </si>
  <si>
    <t>Frequencies of CYP3A5 diplotypes in biogeographical groups</t>
  </si>
  <si>
    <t>*1/*1</t>
  </si>
  <si>
    <t>0.20507748</t>
  </si>
  <si>
    <t>0.106746115</t>
  </si>
  <si>
    <t>0.064288594</t>
  </si>
  <si>
    <t>0.005491413</t>
  </si>
  <si>
    <t>0.029857205</t>
  </si>
  <si>
    <t>0.014869832</t>
  </si>
  <si>
    <t>0.22983262</t>
  </si>
  <si>
    <t>*1/*3</t>
  </si>
  <si>
    <t>0.28618535</t>
  </si>
  <si>
    <t>0.43994826</t>
  </si>
  <si>
    <t>0.3781942</t>
  </si>
  <si>
    <t>0.13700086</t>
  </si>
  <si>
    <t>0.26441908</t>
  </si>
  <si>
    <t>0.20391554</t>
  </si>
  <si>
    <t>0.23102282</t>
  </si>
  <si>
    <t>*1/*6</t>
  </si>
  <si>
    <t>0.10068418</t>
  </si>
  <si>
    <t>0.00033252715</t>
  </si>
  <si>
    <t>0.00022445525</t>
  </si>
  <si>
    <t>0.0128053</t>
  </si>
  <si>
    <t>0.009288459</t>
  </si>
  <si>
    <t>0.18527767</t>
  </si>
  <si>
    <t>*1/*7</t>
  </si>
  <si>
    <t>0.10868515</t>
  </si>
  <si>
    <t>0.00864596</t>
  </si>
  <si>
    <t>0.00094018446</t>
  </si>
  <si>
    <t>0.08285152</t>
  </si>
  <si>
    <t>*1/*8</t>
  </si>
  <si>
    <t>*1/*9</t>
  </si>
  <si>
    <t>*3/*3</t>
  </si>
  <si>
    <t>0.099842824</t>
  </si>
  <si>
    <t>0.45330563</t>
  </si>
  <si>
    <t>0.5562062</t>
  </si>
  <si>
    <t>0.85448116</t>
  </si>
  <si>
    <t>0.585432</t>
  </si>
  <si>
    <t>0.6990924</t>
  </si>
  <si>
    <t>0.058054794</t>
  </si>
  <si>
    <t>*3/*6</t>
  </si>
  <si>
    <t>0.07025232</t>
  </si>
  <si>
    <t>0.0009780884</t>
  </si>
  <si>
    <t>0.002799877</t>
  </si>
  <si>
    <t>0.056702655</t>
  </si>
  <si>
    <t>0.06368804</t>
  </si>
  <si>
    <t>0.09311857</t>
  </si>
  <si>
    <t>*3/*7</t>
  </si>
  <si>
    <t>0.075835</t>
  </si>
  <si>
    <t>0.038284846</t>
  </si>
  <si>
    <t>0.006446549</t>
  </si>
  <si>
    <t>0.041640285</t>
  </si>
  <si>
    <t>*3/*8</t>
  </si>
  <si>
    <t>*3/*9</t>
  </si>
  <si>
    <t>*6/*6</t>
  </si>
  <si>
    <t>0.012357894</t>
  </si>
  <si>
    <t>4.2999193E-7</t>
  </si>
  <si>
    <t>0.0000022935878</t>
  </si>
  <si>
    <t>0.0013729994</t>
  </si>
  <si>
    <t>0.0014505116</t>
  </si>
  <si>
    <t>0.037340015</t>
  </si>
  <si>
    <t>*6/*7</t>
  </si>
  <si>
    <t>0.026679855</t>
  </si>
  <si>
    <t>0.0018540601</t>
  </si>
  <si>
    <t>0.00029364365</t>
  </si>
  <si>
    <t>0.033395033</t>
  </si>
  <si>
    <t>*6/*8</t>
  </si>
  <si>
    <t>*6/*9</t>
  </si>
  <si>
    <t>*7/*7</t>
  </si>
  <si>
    <t>0.0144</t>
  </si>
  <si>
    <t>0.0006259178</t>
  </si>
  <si>
    <t>0.000014861411</t>
  </si>
  <si>
    <t>0.00746671</t>
  </si>
  <si>
    <t>*7/*8</t>
  </si>
  <si>
    <t>*7/*9</t>
  </si>
  <si>
    <t>*8/*8</t>
  </si>
  <si>
    <t>*8/*9</t>
  </si>
  <si>
    <t>*9/*9</t>
  </si>
  <si>
    <t>Frequencies of CYP3A5 phenotypes in biogeographical groups</t>
  </si>
  <si>
    <t>Phenotype</t>
  </si>
  <si>
    <t>Possible Intermediate Metabolizer</t>
  </si>
  <si>
    <t>Poor Metabolizer</t>
  </si>
  <si>
    <t>0.2993679</t>
  </si>
  <si>
    <t>0.5571847</t>
  </si>
  <si>
    <t>0.68427247</t>
  </si>
  <si>
    <t>0.770986</t>
  </si>
  <si>
    <t>0.2710154</t>
  </si>
  <si>
    <t>Normal Metabolizer</t>
  </si>
  <si>
    <t>Intermediate Metabolizer</t>
  </si>
  <si>
    <t>0.4955547</t>
  </si>
  <si>
    <t>0.37852672</t>
  </si>
  <si>
    <t>0.28587034</t>
  </si>
  <si>
    <t>0.21414419</t>
  </si>
  <si>
    <t>0.499152</t>
  </si>
  <si>
    <t>Indeterminate</t>
  </si>
  <si>
    <t>Authors</t>
  </si>
  <si>
    <t>Year</t>
  </si>
  <si>
    <t>PMID</t>
  </si>
  <si>
    <t>Population group</t>
  </si>
  <si>
    <t>Population</t>
  </si>
  <si>
    <t>Add'l population info</t>
  </si>
  <si>
    <t>Subject type</t>
  </si>
  <si>
    <t>N subjects genotyped</t>
  </si>
  <si>
    <t>*8</t>
  </si>
  <si>
    <t>*9</t>
  </si>
  <si>
    <t/>
  </si>
  <si>
    <t>Kuehl P</t>
  </si>
  <si>
    <t>11279519</t>
  </si>
  <si>
    <t>African American</t>
  </si>
  <si>
    <t>General population</t>
  </si>
  <si>
    <t>0.45</t>
  </si>
  <si>
    <t>0.475</t>
  </si>
  <si>
    <t>0.075</t>
  </si>
  <si>
    <t>Floyd Michael D</t>
  </si>
  <si>
    <t>14515058</t>
  </si>
  <si>
    <t>Healthy individuals</t>
  </si>
  <si>
    <t>0.72</t>
  </si>
  <si>
    <t>0.28</t>
  </si>
  <si>
    <t>Givens Raymond C</t>
  </si>
  <si>
    <t>12754175</t>
  </si>
  <si>
    <t>0.54</t>
  </si>
  <si>
    <t>0.46</t>
  </si>
  <si>
    <t>International HapMap Consortium</t>
  </si>
  <si>
    <t>14685227</t>
  </si>
  <si>
    <t>International HapMap Project</t>
  </si>
  <si>
    <t>0.561</t>
  </si>
  <si>
    <t>0.36</t>
  </si>
  <si>
    <t>0.079</t>
  </si>
  <si>
    <t>Aquilante Christina L</t>
  </si>
  <si>
    <t>16701601</t>
  </si>
  <si>
    <t>0.6</t>
  </si>
  <si>
    <t>0.23</t>
  </si>
  <si>
    <t>0.17</t>
  </si>
  <si>
    <t>Langaee T Y</t>
  </si>
  <si>
    <t>17339868</t>
  </si>
  <si>
    <t>Healthy individuals and hypertensive patients</t>
  </si>
  <si>
    <t>0.65</t>
  </si>
  <si>
    <t>0.21</t>
  </si>
  <si>
    <t>0.14</t>
  </si>
  <si>
    <t>Jacobson Pamala A</t>
  </si>
  <si>
    <t>21206424</t>
  </si>
  <si>
    <t>Kidney transplant patients</t>
  </si>
  <si>
    <t>0.35</t>
  </si>
  <si>
    <t>1000 Genomes Project Consortium</t>
  </si>
  <si>
    <t>23128226</t>
  </si>
  <si>
    <t>1000 Genomes Project</t>
  </si>
  <si>
    <t>0.34</t>
  </si>
  <si>
    <t>0.08</t>
  </si>
  <si>
    <t>Min</t>
  </si>
  <si>
    <t>Average</t>
  </si>
  <si>
    <t>Max</t>
  </si>
  <si>
    <t>0.453</t>
  </si>
  <si>
    <t>0.316</t>
  </si>
  <si>
    <t>0.111</t>
  </si>
  <si>
    <t>Balram C</t>
  </si>
  <si>
    <t>12756511</t>
  </si>
  <si>
    <t>Indian</t>
  </si>
  <si>
    <t>0.41</t>
  </si>
  <si>
    <t>0.59</t>
  </si>
  <si>
    <t>Gujarati in USA</t>
  </si>
  <si>
    <t>0.248</t>
  </si>
  <si>
    <t>0.752</t>
  </si>
  <si>
    <t>Li D</t>
  </si>
  <si>
    <t>17286792</t>
  </si>
  <si>
    <t>Chinese</t>
  </si>
  <si>
    <t>Kazakh</t>
  </si>
  <si>
    <t>0.134</t>
  </si>
  <si>
    <t>0.866</t>
  </si>
  <si>
    <t>Ashavaid T</t>
  </si>
  <si>
    <t>21072155</t>
  </si>
  <si>
    <t>0.66</t>
  </si>
  <si>
    <t>Bajpai Prachi</t>
  </si>
  <si>
    <t>19823770</t>
  </si>
  <si>
    <t>North Indian</t>
  </si>
  <si>
    <t>0.329</t>
  </si>
  <si>
    <t>0.671</t>
  </si>
  <si>
    <t>Al Maruf Abdullah</t>
  </si>
  <si>
    <t>21114969</t>
  </si>
  <si>
    <t>Bangladeshi</t>
  </si>
  <si>
    <t>0.315</t>
  </si>
  <si>
    <t>0.685</t>
  </si>
  <si>
    <t>Krishnakumar D</t>
  </si>
  <si>
    <t>21265876</t>
  </si>
  <si>
    <t>0.365</t>
  </si>
  <si>
    <t>0.635</t>
  </si>
  <si>
    <t>Islam Mohammad Safiqul</t>
  </si>
  <si>
    <t>24085358</t>
  </si>
  <si>
    <t>0.306</t>
  </si>
  <si>
    <t>0.694</t>
  </si>
  <si>
    <t>0.327</t>
  </si>
  <si>
    <t>0.673</t>
  </si>
  <si>
    <t>0</t>
  </si>
  <si>
    <t>Fukuen Shuichi</t>
  </si>
  <si>
    <t>12042671</t>
  </si>
  <si>
    <t>Japanese</t>
  </si>
  <si>
    <t>0.232</t>
  </si>
  <si>
    <t>0.768</t>
  </si>
  <si>
    <t>Hiratsuka Masahiro</t>
  </si>
  <si>
    <t>12242601</t>
  </si>
  <si>
    <t>0.26</t>
  </si>
  <si>
    <t>0.74</t>
  </si>
  <si>
    <t>Shih Pei-Shan</t>
  </si>
  <si>
    <t>12433824</t>
  </si>
  <si>
    <t>Han in Taiwan</t>
  </si>
  <si>
    <t>0.274</t>
  </si>
  <si>
    <t>0.726</t>
  </si>
  <si>
    <t>0.24</t>
  </si>
  <si>
    <t>0.76</t>
  </si>
  <si>
    <t>Malay</t>
  </si>
  <si>
    <t>0.39</t>
  </si>
  <si>
    <t>0.61</t>
  </si>
  <si>
    <t>Han in Beijing</t>
  </si>
  <si>
    <t>0.29</t>
  </si>
  <si>
    <t>0.706</t>
  </si>
  <si>
    <t>0.004</t>
  </si>
  <si>
    <t>in USA</t>
  </si>
  <si>
    <t>in Tokyo</t>
  </si>
  <si>
    <t>0.253</t>
  </si>
  <si>
    <t>0.743</t>
  </si>
  <si>
    <t>Saeki Mayumi</t>
  </si>
  <si>
    <t>14961555</t>
  </si>
  <si>
    <t>0.241</t>
  </si>
  <si>
    <t>0.759</t>
  </si>
  <si>
    <t>Goto Maki</t>
  </si>
  <si>
    <t>15226679</t>
  </si>
  <si>
    <t>Liver transplant patients</t>
  </si>
  <si>
    <t>0.237</t>
  </si>
  <si>
    <t>0.763</t>
  </si>
  <si>
    <t>Tsuchiya Norihiko</t>
  </si>
  <si>
    <t>15502717</t>
  </si>
  <si>
    <t>0.233</t>
  </si>
  <si>
    <t>0.767</t>
  </si>
  <si>
    <t>Hu Yong-Fang</t>
  </si>
  <si>
    <t>15698606</t>
  </si>
  <si>
    <t>0.222</t>
  </si>
  <si>
    <t>0.778</t>
  </si>
  <si>
    <t>Liu Chin-Hung</t>
  </si>
  <si>
    <t>16207150</t>
  </si>
  <si>
    <t>Han</t>
  </si>
  <si>
    <t>0.298</t>
  </si>
  <si>
    <t>0.702</t>
  </si>
  <si>
    <t>Tada H</t>
  </si>
  <si>
    <t>15919447</t>
  </si>
  <si>
    <t>0.77</t>
  </si>
  <si>
    <t>Zhang Xin</t>
  </si>
  <si>
    <t>16146556</t>
  </si>
  <si>
    <t>0.254</t>
  </si>
  <si>
    <t>0.746</t>
  </si>
  <si>
    <t>Zhao Y</t>
  </si>
  <si>
    <t>15808586</t>
  </si>
  <si>
    <t>0.2</t>
  </si>
  <si>
    <t>0.8</t>
  </si>
  <si>
    <t>Cheung Chi Yuen</t>
  </si>
  <si>
    <t>16753004</t>
  </si>
  <si>
    <t>Kim Kyoung-Ah</t>
  </si>
  <si>
    <t>17178265</t>
  </si>
  <si>
    <t>Korean</t>
  </si>
  <si>
    <t>0.225</t>
  </si>
  <si>
    <t>0.775</t>
  </si>
  <si>
    <t>Liou Ya-Huei</t>
  </si>
  <si>
    <t>16924387</t>
  </si>
  <si>
    <t>Taiwanese</t>
  </si>
  <si>
    <t>0.308</t>
  </si>
  <si>
    <t>0.692</t>
  </si>
  <si>
    <t>Uesugi Miwa</t>
  </si>
  <si>
    <t>16424824</t>
  </si>
  <si>
    <t>Wei-lin Wang</t>
  </si>
  <si>
    <t>16628701</t>
  </si>
  <si>
    <t>0.38</t>
  </si>
  <si>
    <t>0.62</t>
  </si>
  <si>
    <t>Yu Songfeng</t>
  </si>
  <si>
    <t>16421475</t>
  </si>
  <si>
    <t>0.37</t>
  </si>
  <si>
    <t>0.63</t>
  </si>
  <si>
    <t>Choi Ji H</t>
  </si>
  <si>
    <t>17391324</t>
  </si>
  <si>
    <t>0.31</t>
  </si>
  <si>
    <t>0.69</t>
  </si>
  <si>
    <t>17875118</t>
  </si>
  <si>
    <t>0.284</t>
  </si>
  <si>
    <t>0.716</t>
  </si>
  <si>
    <t>0.273</t>
  </si>
  <si>
    <t>0.727</t>
  </si>
  <si>
    <t>Uygur</t>
  </si>
  <si>
    <t>0.152</t>
  </si>
  <si>
    <t>0.848</t>
  </si>
  <si>
    <t>Li Dan</t>
  </si>
  <si>
    <t>17568575</t>
  </si>
  <si>
    <t>0.293</t>
  </si>
  <si>
    <t>0.707</t>
  </si>
  <si>
    <t>Fukudo Masahide</t>
  </si>
  <si>
    <t>18408564</t>
  </si>
  <si>
    <t>Makeeva Oksana</t>
  </si>
  <si>
    <t>18597650</t>
  </si>
  <si>
    <t>Russian</t>
  </si>
  <si>
    <t>Altaian</t>
  </si>
  <si>
    <t>0.106</t>
  </si>
  <si>
    <t>0.894</t>
  </si>
  <si>
    <t>Buryat</t>
  </si>
  <si>
    <t>0.178</t>
  </si>
  <si>
    <t>0.822</t>
  </si>
  <si>
    <t>Tuvinian</t>
  </si>
  <si>
    <t>0.144</t>
  </si>
  <si>
    <t>0.856</t>
  </si>
  <si>
    <t>Yakut</t>
  </si>
  <si>
    <t>0.074</t>
  </si>
  <si>
    <t>0.926</t>
  </si>
  <si>
    <t>Park S Y</t>
  </si>
  <si>
    <t>18211618</t>
  </si>
  <si>
    <t>0.235</t>
  </si>
  <si>
    <t>0.765</t>
  </si>
  <si>
    <t>Satoh Shigeru</t>
  </si>
  <si>
    <t>18429967</t>
  </si>
  <si>
    <t>0.71</t>
  </si>
  <si>
    <t>Jun Kyung Ran</t>
  </si>
  <si>
    <t>19384171</t>
  </si>
  <si>
    <t>Liver and kidney transplant patients</t>
  </si>
  <si>
    <t>Kim K A</t>
  </si>
  <si>
    <t>19693007</t>
  </si>
  <si>
    <t>0.174</t>
  </si>
  <si>
    <t>0.826</t>
  </si>
  <si>
    <t>19125240</t>
  </si>
  <si>
    <t>Min Sang-Il</t>
  </si>
  <si>
    <t>21076384</t>
  </si>
  <si>
    <t>Rong G</t>
  </si>
  <si>
    <t>21094796</t>
  </si>
  <si>
    <t>Yanagimachi Masakatsu</t>
  </si>
  <si>
    <t>20030680</t>
  </si>
  <si>
    <t>Hematopoietic stem cell transplant patients</t>
  </si>
  <si>
    <t>0.212</t>
  </si>
  <si>
    <t>0.788</t>
  </si>
  <si>
    <t>Yong Chung Jae</t>
  </si>
  <si>
    <t>20010459</t>
  </si>
  <si>
    <t>Yoo Hee-Doo</t>
  </si>
  <si>
    <t>20078610</t>
  </si>
  <si>
    <t>Zhang J</t>
  </si>
  <si>
    <t>21094797</t>
  </si>
  <si>
    <t>0.263</t>
  </si>
  <si>
    <t>0.737</t>
  </si>
  <si>
    <t>Li Liang</t>
  </si>
  <si>
    <t>21331500</t>
  </si>
  <si>
    <t>Miura Masatomo</t>
  </si>
  <si>
    <t>21635144</t>
  </si>
  <si>
    <t>0.309</t>
  </si>
  <si>
    <t>0.691</t>
  </si>
  <si>
    <t>Muraki Yuichi</t>
  </si>
  <si>
    <t>22210422</t>
  </si>
  <si>
    <t>0.19</t>
  </si>
  <si>
    <t>0.81</t>
  </si>
  <si>
    <t>Shi X-J</t>
  </si>
  <si>
    <t>21916909</t>
  </si>
  <si>
    <t>0.205</t>
  </si>
  <si>
    <t>0.795</t>
  </si>
  <si>
    <t>Wu Ping</t>
  </si>
  <si>
    <t>21436775</t>
  </si>
  <si>
    <t>Xue Ling</t>
  </si>
  <si>
    <t>22075549</t>
  </si>
  <si>
    <t>0.192</t>
  </si>
  <si>
    <t>0.808</t>
  </si>
  <si>
    <t>Zhang Xiaoqing</t>
  </si>
  <si>
    <t>21359536</t>
  </si>
  <si>
    <t>0.339</t>
  </si>
  <si>
    <t>0.661</t>
  </si>
  <si>
    <t>Southern Han</t>
  </si>
  <si>
    <t>Cho J-H</t>
  </si>
  <si>
    <t>22310591</t>
  </si>
  <si>
    <t>0.214</t>
  </si>
  <si>
    <t>0.786</t>
  </si>
  <si>
    <t>Hirano Kumi</t>
  </si>
  <si>
    <t>22889968</t>
  </si>
  <si>
    <t>Ji Eunhee</t>
  </si>
  <si>
    <t>22992768</t>
  </si>
  <si>
    <t>0.203</t>
  </si>
  <si>
    <t>0.797</t>
  </si>
  <si>
    <t>Kim In-Wha</t>
  </si>
  <si>
    <t>22183771</t>
  </si>
  <si>
    <t>0.223</t>
  </si>
  <si>
    <t>0.777</t>
  </si>
  <si>
    <t>22469198</t>
  </si>
  <si>
    <t>Niioka Takenori</t>
  </si>
  <si>
    <t>23073468</t>
  </si>
  <si>
    <t>0.332</t>
  </si>
  <si>
    <t>0.668</t>
  </si>
  <si>
    <t>Ro Han</t>
  </si>
  <si>
    <t>23149441</t>
  </si>
  <si>
    <t>Chen Dawei</t>
  </si>
  <si>
    <t>23991193</t>
  </si>
  <si>
    <t>Han Nayoung</t>
  </si>
  <si>
    <t>22660440</t>
  </si>
  <si>
    <t>0.231</t>
  </si>
  <si>
    <t>0.769</t>
  </si>
  <si>
    <t>Li Dan-ying</t>
  </si>
  <si>
    <t>23557867</t>
  </si>
  <si>
    <t>23733010</t>
  </si>
  <si>
    <t>Shi Yunying</t>
  </si>
  <si>
    <t>23107770</t>
  </si>
  <si>
    <t>0.282</t>
  </si>
  <si>
    <t>0.718</t>
  </si>
  <si>
    <t>Vannaprasaht Suda</t>
  </si>
  <si>
    <t>24120259</t>
  </si>
  <si>
    <t>Thai</t>
  </si>
  <si>
    <t>Yunus Zulfiya</t>
  </si>
  <si>
    <t>23954225</t>
  </si>
  <si>
    <t>Kyrgyz</t>
  </si>
  <si>
    <t>0.1</t>
  </si>
  <si>
    <t>0.9</t>
  </si>
  <si>
    <t>Zuo Xiao-cong</t>
  </si>
  <si>
    <t>23459029</t>
  </si>
  <si>
    <t>23438946</t>
  </si>
  <si>
    <t>0.3</t>
  </si>
  <si>
    <t>0.7</t>
  </si>
  <si>
    <t>24351870</t>
  </si>
  <si>
    <t>0.207</t>
  </si>
  <si>
    <t>0.793</t>
  </si>
  <si>
    <t>Chen Yi-kuan</t>
  </si>
  <si>
    <t>25310192</t>
  </si>
  <si>
    <t>0.239</t>
  </si>
  <si>
    <t>0.761</t>
  </si>
  <si>
    <t>24238261</t>
  </si>
  <si>
    <t>Hirai Fumihito</t>
  </si>
  <si>
    <t>24033383</t>
  </si>
  <si>
    <t>Ulcerative colitis patients</t>
  </si>
  <si>
    <t>Li Chuan-Jiang</t>
  </si>
  <si>
    <t>24465960</t>
  </si>
  <si>
    <t>Wang Zhaowen</t>
  </si>
  <si>
    <t>24820765</t>
  </si>
  <si>
    <t>Wu M-J</t>
  </si>
  <si>
    <t>24655974</t>
  </si>
  <si>
    <t>0.277</t>
  </si>
  <si>
    <t>0.723</t>
  </si>
  <si>
    <t>Xue Feng</t>
  </si>
  <si>
    <t>24438215</t>
  </si>
  <si>
    <t>Pediatric liver transplant patients</t>
  </si>
  <si>
    <t>0.266</t>
  </si>
  <si>
    <t>0.734</t>
  </si>
  <si>
    <t>25594874</t>
  </si>
  <si>
    <t>0.79</t>
  </si>
  <si>
    <t>Xing Jiazhen</t>
  </si>
  <si>
    <t>25487141</t>
  </si>
  <si>
    <t>0.000656</t>
  </si>
  <si>
    <t>European/European American</t>
  </si>
  <si>
    <t>0.148</t>
  </si>
  <si>
    <t>0.852</t>
  </si>
  <si>
    <t>van Schaik Ron H N</t>
  </si>
  <si>
    <t>12324482</t>
  </si>
  <si>
    <t>Dutch</t>
  </si>
  <si>
    <t>0.082</t>
  </si>
  <si>
    <t>0.917</t>
  </si>
  <si>
    <t>0.001</t>
  </si>
  <si>
    <t>American</t>
  </si>
  <si>
    <t>0.13</t>
  </si>
  <si>
    <t>0.87</t>
  </si>
  <si>
    <t>Hesselink Dennis A</t>
  </si>
  <si>
    <t>12966368</t>
  </si>
  <si>
    <t>0.16</t>
  </si>
  <si>
    <t>0.84</t>
  </si>
  <si>
    <t>0.036</t>
  </si>
  <si>
    <t>0.964</t>
  </si>
  <si>
    <t>Italian</t>
  </si>
  <si>
    <t>Tuscan</t>
  </si>
  <si>
    <t>0.049</t>
  </si>
  <si>
    <t>0.946</t>
  </si>
  <si>
    <t>0.005</t>
  </si>
  <si>
    <t>Haufroid Vincent</t>
  </si>
  <si>
    <t>15167702</t>
  </si>
  <si>
    <t>Belgian</t>
  </si>
  <si>
    <t>Mai Ingrid</t>
  </si>
  <si>
    <t>15521904</t>
  </si>
  <si>
    <t>German</t>
  </si>
  <si>
    <t>0.067</t>
  </si>
  <si>
    <t>0.933</t>
  </si>
  <si>
    <t>Gervasini Guillermo</t>
  </si>
  <si>
    <t>16306861</t>
  </si>
  <si>
    <t>Spanish</t>
  </si>
  <si>
    <t>0.09</t>
  </si>
  <si>
    <t>0.91</t>
  </si>
  <si>
    <t>Roy Jean-Nicholas</t>
  </si>
  <si>
    <t>15833928</t>
  </si>
  <si>
    <t>Canadian</t>
  </si>
  <si>
    <t>0.071</t>
  </si>
  <si>
    <t>0.929</t>
  </si>
  <si>
    <t>Mirghani Rajaa A</t>
  </si>
  <si>
    <t>16906018</t>
  </si>
  <si>
    <t>Swedish</t>
  </si>
  <si>
    <t>0.07</t>
  </si>
  <si>
    <t>0.93</t>
  </si>
  <si>
    <t>Quaranta S</t>
  </si>
  <si>
    <t>17162466</t>
  </si>
  <si>
    <t>French</t>
  </si>
  <si>
    <t>0.187</t>
  </si>
  <si>
    <t>0.813</t>
  </si>
  <si>
    <t>Arvanitidis Kostas</t>
  </si>
  <si>
    <t>17635181</t>
  </si>
  <si>
    <t>Greek</t>
  </si>
  <si>
    <t>0.056</t>
  </si>
  <si>
    <t>0.944</t>
  </si>
  <si>
    <t>Hilli Johanna</t>
  </si>
  <si>
    <t>17635176</t>
  </si>
  <si>
    <t>Finnish</t>
  </si>
  <si>
    <t>0.92</t>
  </si>
  <si>
    <t>Petrova Darinka Todorova</t>
  </si>
  <si>
    <t>17992026</t>
  </si>
  <si>
    <t>Bulgarian</t>
  </si>
  <si>
    <t>0.069</t>
  </si>
  <si>
    <t>0.931</t>
  </si>
  <si>
    <t>Renders L</t>
  </si>
  <si>
    <t>17192769</t>
  </si>
  <si>
    <t>0.081</t>
  </si>
  <si>
    <t>0.919</t>
  </si>
  <si>
    <t>Sinues Blanca</t>
  </si>
  <si>
    <t>17667794</t>
  </si>
  <si>
    <t>0.086</t>
  </si>
  <si>
    <t>0.914</t>
  </si>
  <si>
    <t>Barrera-Pulido L</t>
  </si>
  <si>
    <t>19010156</t>
  </si>
  <si>
    <t>0.05</t>
  </si>
  <si>
    <t>0.95</t>
  </si>
  <si>
    <t>0.084</t>
  </si>
  <si>
    <t>0.916</t>
  </si>
  <si>
    <t>Tirelli Silvia</t>
  </si>
  <si>
    <t>18443548</t>
  </si>
  <si>
    <t>Adolescent kidney transplant patients</t>
  </si>
  <si>
    <t>0.83</t>
  </si>
  <si>
    <t>Adler Grazyna</t>
  </si>
  <si>
    <t>19904021</t>
  </si>
  <si>
    <t>Polish</t>
  </si>
  <si>
    <t>Healthy newborn individuals</t>
  </si>
  <si>
    <t>0.06</t>
  </si>
  <si>
    <t>0.94</t>
  </si>
  <si>
    <t>Provenzani Alessio</t>
  </si>
  <si>
    <t>19289993</t>
  </si>
  <si>
    <t>Zhao W</t>
  </si>
  <si>
    <t>19865079</t>
  </si>
  <si>
    <t>Pediatric kidney transplant patients</t>
  </si>
  <si>
    <t>0.11</t>
  </si>
  <si>
    <t>0.89</t>
  </si>
  <si>
    <t>Oliver Paloma</t>
  </si>
  <si>
    <t>20218903</t>
  </si>
  <si>
    <t>0.065</t>
  </si>
  <si>
    <t>0.935</t>
  </si>
  <si>
    <t>Turolo Stefano</t>
  </si>
  <si>
    <t>21273673</t>
  </si>
  <si>
    <t>0.88</t>
  </si>
  <si>
    <t>Ferraresso Mariano</t>
  </si>
  <si>
    <t>21851254</t>
  </si>
  <si>
    <t>0.115</t>
  </si>
  <si>
    <t>0.885</t>
  </si>
  <si>
    <t>Kniepeiss Daniela</t>
  </si>
  <si>
    <t>20041908</t>
  </si>
  <si>
    <t>Austrian</t>
  </si>
  <si>
    <t>Heart transplant patients</t>
  </si>
  <si>
    <t>21922127</t>
  </si>
  <si>
    <t>0.083</t>
  </si>
  <si>
    <t>Semiz Sabina</t>
  </si>
  <si>
    <t>21263403</t>
  </si>
  <si>
    <t>Bosnian and Herzegovinian</t>
  </si>
  <si>
    <t>Tavira Beatriz</t>
  </si>
  <si>
    <t>21480817</t>
  </si>
  <si>
    <t>0.102</t>
  </si>
  <si>
    <t>0.898</t>
  </si>
  <si>
    <t>Wehland Markus</t>
  </si>
  <si>
    <t>20818295</t>
  </si>
  <si>
    <t>0.163</t>
  </si>
  <si>
    <t>0.837</t>
  </si>
  <si>
    <t>British</t>
  </si>
  <si>
    <t>0.04</t>
  </si>
  <si>
    <t>0.01</t>
  </si>
  <si>
    <t>de Jonge H</t>
  </si>
  <si>
    <t>22871995</t>
  </si>
  <si>
    <t>Díaz-Molina B</t>
  </si>
  <si>
    <t>23146479</t>
  </si>
  <si>
    <t>22369694</t>
  </si>
  <si>
    <t>Stratta P</t>
  </si>
  <si>
    <t>22101623</t>
  </si>
  <si>
    <t>Bosó Virginia</t>
  </si>
  <si>
    <t>23175667</t>
  </si>
  <si>
    <t>Gómez-Bravo Miguel Angel</t>
  </si>
  <si>
    <t>23900887</t>
  </si>
  <si>
    <t>23778326</t>
  </si>
  <si>
    <t>0.96</t>
  </si>
  <si>
    <t>Kurzawski Mateusz</t>
  </si>
  <si>
    <t>24444408</t>
  </si>
  <si>
    <t>0.037</t>
  </si>
  <si>
    <t>0.963</t>
  </si>
  <si>
    <t>0.0741</t>
  </si>
  <si>
    <t>0.924</t>
  </si>
  <si>
    <t>0.00151</t>
  </si>
  <si>
    <t>Mexican</t>
  </si>
  <si>
    <t>0.211</t>
  </si>
  <si>
    <t>0.026</t>
  </si>
  <si>
    <t>El Salvadoran Mestizo</t>
  </si>
  <si>
    <t>Nicaraguan Mestizo</t>
  </si>
  <si>
    <t>0.238</t>
  </si>
  <si>
    <t>0.762</t>
  </si>
  <si>
    <t>Sinués Blanca</t>
  </si>
  <si>
    <t>18688081</t>
  </si>
  <si>
    <t>Ecuadorian Mestizo</t>
  </si>
  <si>
    <t>Ferraris Jorge R</t>
  </si>
  <si>
    <t>21711429</t>
  </si>
  <si>
    <t>Argentinian</t>
  </si>
  <si>
    <t>Colombian</t>
  </si>
  <si>
    <t>from Medellin</t>
  </si>
  <si>
    <t>0.18</t>
  </si>
  <si>
    <t>0.02</t>
  </si>
  <si>
    <t>Puerto Rican</t>
  </si>
  <si>
    <t>García-Roca Pilar</t>
  </si>
  <si>
    <t>22704849</t>
  </si>
  <si>
    <t>0.27</t>
  </si>
  <si>
    <t>0.73</t>
  </si>
  <si>
    <t>Cusinato Diego Alberto C</t>
  </si>
  <si>
    <t>24528196</t>
  </si>
  <si>
    <t>Brazilian</t>
  </si>
  <si>
    <t>Suarez-Kurtz Guilherme</t>
  </si>
  <si>
    <t>24427273</t>
  </si>
  <si>
    <t>0.03</t>
  </si>
  <si>
    <t>0.173</t>
  </si>
  <si>
    <t>0.0371</t>
  </si>
  <si>
    <t>0.0250</t>
  </si>
  <si>
    <t>Tunisian</t>
  </si>
  <si>
    <t>Azarpira N</t>
  </si>
  <si>
    <t>21153923</t>
  </si>
  <si>
    <t>Iranian</t>
  </si>
  <si>
    <t>0.82</t>
  </si>
  <si>
    <t>Elmachad Mustapha</t>
  </si>
  <si>
    <t>22304537</t>
  </si>
  <si>
    <t>Moroccan</t>
  </si>
  <si>
    <t>Healthy individuals and kidney transplant patients</t>
  </si>
  <si>
    <t>0.268</t>
  </si>
  <si>
    <t>0.732</t>
  </si>
  <si>
    <t>Rahsaz Marjan</t>
  </si>
  <si>
    <t>22309416</t>
  </si>
  <si>
    <t>0.025</t>
  </si>
  <si>
    <t>0.975</t>
  </si>
  <si>
    <t>Salameh Ghada</t>
  </si>
  <si>
    <t>22426036</t>
  </si>
  <si>
    <t>Jordanian</t>
  </si>
  <si>
    <t>0.868</t>
  </si>
  <si>
    <t>0.017</t>
  </si>
  <si>
    <t>Yousef Al-Motassem</t>
  </si>
  <si>
    <t>22722998</t>
  </si>
  <si>
    <t>Bains Ripudaman K</t>
  </si>
  <si>
    <t>23641907</t>
  </si>
  <si>
    <t>Algerian</t>
  </si>
  <si>
    <t>Northern Algerian</t>
  </si>
  <si>
    <t>Armenian</t>
  </si>
  <si>
    <t>Southern Armenian</t>
  </si>
  <si>
    <t>Berber</t>
  </si>
  <si>
    <t>0.15</t>
  </si>
  <si>
    <t>Sudanese</t>
  </si>
  <si>
    <t>from Kordofan</t>
  </si>
  <si>
    <t>0.33</t>
  </si>
  <si>
    <t>Northern Sudanese</t>
  </si>
  <si>
    <t>Turkish</t>
  </si>
  <si>
    <t>Anatolian</t>
  </si>
  <si>
    <t>Yemeni</t>
  </si>
  <si>
    <t>from Hadramaut</t>
  </si>
  <si>
    <t>0.85</t>
  </si>
  <si>
    <t>from Sena and Msila</t>
  </si>
  <si>
    <t>0.58</t>
  </si>
  <si>
    <t>Shilbayeh Sireen</t>
  </si>
  <si>
    <t>24231473</t>
  </si>
  <si>
    <t>0.105</t>
  </si>
  <si>
    <t>0.895</t>
  </si>
  <si>
    <t>Sy Sherwin K B</t>
  </si>
  <si>
    <t>23990505</t>
  </si>
  <si>
    <t>0.122</t>
  </si>
  <si>
    <t>0.836</t>
  </si>
  <si>
    <t>0.0381</t>
  </si>
  <si>
    <t>0.00386</t>
  </si>
  <si>
    <t>Kenyan</t>
  </si>
  <si>
    <t>Luhya in Webuye</t>
  </si>
  <si>
    <t>0.603</t>
  </si>
  <si>
    <t>0.136</t>
  </si>
  <si>
    <t>0.261</t>
  </si>
  <si>
    <t>Maasai in Kinyawa</t>
  </si>
  <si>
    <t>0.369</t>
  </si>
  <si>
    <t>0.487</t>
  </si>
  <si>
    <t>Nigerian</t>
  </si>
  <si>
    <t>Yoruban in Ibadan</t>
  </si>
  <si>
    <t>0.67</t>
  </si>
  <si>
    <t>0.167</t>
  </si>
  <si>
    <t>Tanzanian</t>
  </si>
  <si>
    <t>Gabonese</t>
  </si>
  <si>
    <t>0.875</t>
  </si>
  <si>
    <t>0.125</t>
  </si>
  <si>
    <t>Oliveira Elisabete</t>
  </si>
  <si>
    <t>19761365</t>
  </si>
  <si>
    <t>Cabindan</t>
  </si>
  <si>
    <t>Mozambican</t>
  </si>
  <si>
    <t>0.806</t>
  </si>
  <si>
    <t>0.194</t>
  </si>
  <si>
    <t>São Toméan</t>
  </si>
  <si>
    <t>0.686</t>
  </si>
  <si>
    <t>0.314</t>
  </si>
  <si>
    <t>Kudzi William</t>
  </si>
  <si>
    <t>20630055</t>
  </si>
  <si>
    <t>Ghanaian</t>
  </si>
  <si>
    <t>Dandara Collet</t>
  </si>
  <si>
    <t>22118051</t>
  </si>
  <si>
    <t>South African</t>
  </si>
  <si>
    <t>Black South Africans</t>
  </si>
  <si>
    <t>Birth to Twenty (Bt20) study</t>
  </si>
  <si>
    <t>Gebeyehu E</t>
  </si>
  <si>
    <t>20231858</t>
  </si>
  <si>
    <t>Ethiopian</t>
  </si>
  <si>
    <t>0.51</t>
  </si>
  <si>
    <t>0.25</t>
  </si>
  <si>
    <t>Cameroonian</t>
  </si>
  <si>
    <t>Kotoko</t>
  </si>
  <si>
    <t>Mayo Darle</t>
  </si>
  <si>
    <t>0.42</t>
  </si>
  <si>
    <t>Shewa Arabs</t>
  </si>
  <si>
    <t>0.4</t>
  </si>
  <si>
    <t>0.22</t>
  </si>
  <si>
    <t>Somie, Cameroonian Grassfields</t>
  </si>
  <si>
    <t>0.49</t>
  </si>
  <si>
    <t>Congolese</t>
  </si>
  <si>
    <t>from Brazzaville</t>
  </si>
  <si>
    <t>Afar</t>
  </si>
  <si>
    <t>Amhara</t>
  </si>
  <si>
    <t>Anuak</t>
  </si>
  <si>
    <t>0.44</t>
  </si>
  <si>
    <t>Maale</t>
  </si>
  <si>
    <t>Oromo</t>
  </si>
  <si>
    <t>Asante</t>
  </si>
  <si>
    <t>Bulsa</t>
  </si>
  <si>
    <t>0.52</t>
  </si>
  <si>
    <t>Kasena</t>
  </si>
  <si>
    <t>0.48</t>
  </si>
  <si>
    <t>Malawia</t>
  </si>
  <si>
    <t>Chewa</t>
  </si>
  <si>
    <t>Malawian</t>
  </si>
  <si>
    <t>Lomwe</t>
  </si>
  <si>
    <t>0.5</t>
  </si>
  <si>
    <t>Ngoni</t>
  </si>
  <si>
    <t>Tumbuka</t>
  </si>
  <si>
    <t>Yao</t>
  </si>
  <si>
    <t>Sena</t>
  </si>
  <si>
    <t>Igbo</t>
  </si>
  <si>
    <t>Senegalese</t>
  </si>
  <si>
    <t>Manjak</t>
  </si>
  <si>
    <t>Wolof</t>
  </si>
  <si>
    <t>Bantu speakers</t>
  </si>
  <si>
    <t>Southern Sudanese</t>
  </si>
  <si>
    <t>Chagga</t>
  </si>
  <si>
    <t>Ugandan</t>
  </si>
  <si>
    <t>Bantu speakers from Ssese</t>
  </si>
  <si>
    <t>0.53</t>
  </si>
  <si>
    <t>Zimbabwean</t>
  </si>
  <si>
    <t>from Mposi</t>
  </si>
  <si>
    <t>Lemba</t>
  </si>
  <si>
    <t>0.47</t>
  </si>
  <si>
    <t>0.479</t>
  </si>
  <si>
    <t>0.193</t>
  </si>
  <si>
    <t>0.0864</t>
  </si>
  <si>
    <t>Methods</t>
  </si>
  <si>
    <t>The allele frequency table was made by searching the PubMed® database (1995 to 2014).</t>
  </si>
  <si>
    <t>Diplotype and Phenotype Calculations. Diplotype and phenotype frequencies were estimated using the equation describing Hardy Weinberg equilibrium based on reported allele frequencies.</t>
  </si>
  <si>
    <t>Caveats to estimated allele frequencies:</t>
  </si>
  <si>
    <t>Sampling. Allele frequencies collected by CPIC for the supplemental tables are based on published literature reports which typically study small groups of people based on a geographic location (e.g. Malaysia, Berlin, Cairo). Almost no studies use genetic markers to estimate ancestry. Manuscripts are often focused on a specific phenotype (e.g. disease) or study only individuals taking a particular drug. Such samples would not be considered a random sample of the general population. Another consideration is that sample size is important, and PGx studies are typically not large. The frequencies collected from these studies are then used to estimate general estimates of entire ethnic population allele frequencies. Therefore, frequencies from larger groups of subjects and frequencies averaged from many sample populations probably result in better estimates.</t>
  </si>
  <si>
    <t>Estimation of *1 frequency. In general, there are no population studies that test for all known variant alleles. Because *1 is not genotyped directly in many studies, all alleles that are negative for a sequence variation are defaulted to a *1 assignment. Because CYP3A5*1 is not genotyped directly, all alleles that are negative for a sequence variation are defaulted to a CYP3A5*1 assignment. Likewise, sequence variations of alleles that are not tested may default to a CYP3A5*1 assignment and hence contribute to the frequencies reported for this allele. Therefore, the inferred frequency for CYP3A5*1 was calculated as an average from studies describing allele frequencies for the most common alleles found in a particular biogeographical group.</t>
  </si>
  <si>
    <t>Diplotype/Phenotype frequency estimates. Diplotype and phenotype frequencies were estimated using the equation describing Hardy Weinberg equilibrium based on reported allele frequencies. When calculating diplotype frequencies from these allele frequencies, the margin of error is compounded based on the margin of error on each allele in the diplotype. So, the margin of error will necessarily increase for diplotype frequency estimates compared to allele frequency estimates. For allele frequencies with already large margins of error due to small and non-random sampling, the diplotype margin of error could potentially be quite large. On the other hand, for well-studied alleles, the margin of error is likely low.</t>
  </si>
  <si>
    <t>Biogeographical groups. Biogeographical groups are derived from PMID 30506572. Further details, including the definitions of each group, can be found at https://www.pharmgkb.org/page/biogeographicalGroups. We strongly recommend that users use either the publication or the PharmGKB link provided to familiarize themselves with the grouping system before using these allele frequencies. These tables group individuals from particular geographic locations into larger biogeographical groups. It is difficult to group populations with certainty, because some populations are often admixed, or at the least, a combination of different ethnicities. Therefore, the margin of error is increased when different subpopulations are grouped together.</t>
  </si>
  <si>
    <t>Notes</t>
  </si>
  <si>
    <t>For full references see "References" tab.</t>
  </si>
  <si>
    <t>Average frequencies based on the reported frequencies in one or multiple studies.</t>
  </si>
  <si>
    <t>Based on the PharmGKB biogeographical groups https://www.pharmgkb.org/page/biogeographicalGroups</t>
  </si>
  <si>
    <t>See the Allele Definition Table at http://www.pharmgkb.org/cyp3a5RefMaterials for allele definitions</t>
  </si>
  <si>
    <t>Because CYP3A5*1 is not genotyped directly, all alleles that are negative for a sequence variation are defaulted to a CYP3A5*1 assignment. The inferred frequency for CYP3A5*1 is calculated as: 1 - (sum of averaged variant allele frequencies).</t>
  </si>
  <si>
    <t>Date</t>
  </si>
  <si>
    <t>Note</t>
  </si>
  <si>
    <t>fixed diplotpye/phenotype calculations and made layouts consistent</t>
  </si>
  <si>
    <t>Updated information in methods tab</t>
  </si>
  <si>
    <t>Converted to PharmGKB biogeographical groups. Updated document to new standardized format and to use weighted average allele frequencies</t>
  </si>
  <si>
    <t>updated footnotes</t>
  </si>
  <si>
    <t>Allele</t>
  </si>
  <si>
    <t>European100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</si>
</sst>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3" x14ac:knownFonts="1">
    <font>
      <sz val="11"/>
      <color indexed="8"/>
      <name val="Calibri"/>
      <family val="2"/>
      <scheme val="minor"/>
    </font>
    <font>
      <sz val="12"/>
      <name val="Calibri"/>
    </font>
    <font>
      <b/>
      <sz val="14"/>
      <name val="Calibri"/>
    </font>
  </fonts>
  <fills count="4">
    <fill>
      <patternFill patternType="none"/>
    </fill>
    <fill>
      <patternFill patternType="gray125"/>
    </fill>
    <fill>
      <patternFill patternType="solid">
        <fgColor indexed="43"/>
      </patternFill>
    </fill>
    <fill>
      <patternFill patternType="solid">
        <fgColor rgb="FFFFFF00"/>
        <bgColor indexed="64"/>
      </patternFill>
    </fill>
  </fills>
  <borders count="3">
    <border>
      <left/>
      <right/>
      <top/>
      <bottom/>
      <diagonal/>
    </border>
    <border>
      <left/>
      <right/>
      <top style="thin">
        <color auto="1"/>
      </top>
      <bottom/>
      <diagonal/>
    </border>
    <border>
      <left style="hair">
        <color auto="1"/>
      </left>
      <right style="hair">
        <color auto="1"/>
      </right>
      <top style="hair">
        <color auto="1"/>
      </top>
      <bottom style="hair">
        <color auto="1"/>
      </bottom>
      <diagonal/>
    </border>
  </borders>
  <cellStyleXfs count="1">
    <xf numFmtId="0" fontId="0" fillId="0" borderId="0"/>
  </cellStyleXfs>
  <cellXfs count="21">
    <xf numFmtId="0" fontId="0" fillId="0" borderId="0" xfId="0"/>
    <xf numFmtId="14" fontId="1" fillId="0" borderId="0" xfId="0" applyNumberFormat="1" applyFont="1" applyAlignment="1">
      <alignment horizontal="left" vertical="top"/>
    </xf>
    <xf numFmtId="0" fontId="1" fillId="0" borderId="0" xfId="0" applyFont="1" applyAlignment="1">
      <alignment horizontal="center" vertical="top"/>
    </xf>
    <xf numFmtId="0" fontId="1" fillId="0" borderId="0" xfId="0" applyFont="1" applyAlignment="1">
      <alignment horizontal="left" vertical="top"/>
    </xf>
    <xf numFmtId="0" fontId="1" fillId="0" borderId="0" xfId="0" applyFont="1" applyAlignment="1">
      <alignment horizontal="left" vertical="top" wrapText="1"/>
    </xf>
    <xf numFmtId="0" fontId="1" fillId="0" borderId="0" xfId="0" applyFont="1" applyAlignment="1">
      <alignment horizontal="right" vertical="top"/>
    </xf>
    <xf numFmtId="164" fontId="1" fillId="0" borderId="0" xfId="0" applyNumberFormat="1" applyFont="1" applyAlignment="1">
      <alignment horizontal="right" vertical="top"/>
    </xf>
    <xf numFmtId="11" fontId="1" fillId="0" borderId="0" xfId="0" applyNumberFormat="1" applyFont="1" applyAlignment="1">
      <alignment horizontal="right" vertical="top"/>
    </xf>
    <xf numFmtId="0" fontId="1" fillId="0" borderId="0" xfId="0" applyFont="1" applyAlignment="1">
      <alignment horizontal="left" wrapText="1"/>
    </xf>
    <xf numFmtId="0" fontId="2" fillId="0" borderId="0" xfId="0" applyFont="1" applyAlignment="1">
      <alignment horizontal="center"/>
    </xf>
    <xf numFmtId="0" fontId="1" fillId="2" borderId="2" xfId="0" applyFont="1" applyFill="1" applyBorder="1" applyAlignment="1">
      <alignment horizontal="center" vertical="top"/>
    </xf>
    <xf numFmtId="164" fontId="1" fillId="2" borderId="2" xfId="0" applyNumberFormat="1" applyFont="1" applyFill="1" applyBorder="1" applyAlignment="1">
      <alignment horizontal="right" vertical="top"/>
    </xf>
    <xf numFmtId="0" fontId="2" fillId="3" borderId="0" xfId="0" applyFont="1" applyFill="1" applyAlignment="1">
      <alignment horizontal="center"/>
    </xf>
    <xf numFmtId="11" fontId="1" fillId="3" borderId="0" xfId="0" applyNumberFormat="1" applyFont="1" applyFill="1" applyAlignment="1">
      <alignment horizontal="right" vertical="top"/>
    </xf>
    <xf numFmtId="164" fontId="1" fillId="3" borderId="0" xfId="0" applyNumberFormat="1" applyFont="1" applyFill="1" applyAlignment="1">
      <alignment horizontal="right" vertical="top"/>
    </xf>
    <xf numFmtId="0" fontId="0" fillId="3" borderId="0" xfId="0" applyFill="1"/>
    <xf numFmtId="0" fontId="2" fillId="0" borderId="0" xfId="0" applyFont="1" applyAlignment="1">
      <alignment horizontal="center"/>
    </xf>
    <xf numFmtId="0" fontId="0" fillId="0" borderId="0" xfId="0"/>
    <xf numFmtId="0" fontId="2" fillId="0" borderId="0" xfId="0" applyFont="1" applyAlignment="1">
      <alignment horizontal="center"/>
    </xf>
    <xf numFmtId="0" fontId="0" fillId="0" borderId="0" xfId="0"/>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tabSelected="1" workbookViewId="0">
      <selection activeCell="G10" sqref="G10"/>
    </sheetView>
  </sheetViews>
  <sheetFormatPr baseColWidth="10" defaultColWidth="9.140625" defaultRowHeight="15" x14ac:dyDescent="0.25"/>
  <cols>
    <col min="1" max="1" width="16.85546875" bestFit="1" customWidth="1"/>
    <col min="2" max="2" width="38.42578125" bestFit="1" customWidth="1"/>
    <col min="3" max="3" width="23.7109375" bestFit="1" customWidth="1"/>
    <col min="4" max="4" width="13.5703125" bestFit="1" customWidth="1"/>
    <col min="5" max="5" width="13.5703125" style="17" customWidth="1"/>
    <col min="6" max="6" width="13.5703125" style="15" bestFit="1" customWidth="1"/>
    <col min="7" max="7" width="12.42578125" bestFit="1" customWidth="1"/>
    <col min="8" max="8" width="16" bestFit="1" customWidth="1"/>
    <col min="9" max="9" width="24.42578125" bestFit="1" customWidth="1"/>
  </cols>
  <sheetData>
    <row r="1" spans="1:9" ht="18.75" x14ac:dyDescent="0.3">
      <c r="A1" s="9" t="s">
        <v>808</v>
      </c>
      <c r="B1" s="9" t="s">
        <v>1</v>
      </c>
      <c r="C1" s="9" t="s">
        <v>2</v>
      </c>
      <c r="D1" s="9" t="s">
        <v>3</v>
      </c>
      <c r="E1" s="16" t="s">
        <v>809</v>
      </c>
      <c r="F1" s="12" t="s">
        <v>4</v>
      </c>
      <c r="G1" s="9" t="s">
        <v>5</v>
      </c>
      <c r="H1" s="9" t="s">
        <v>6</v>
      </c>
      <c r="I1" s="9" t="s">
        <v>7</v>
      </c>
    </row>
    <row r="2" spans="1:9" ht="15.75" x14ac:dyDescent="0.25">
      <c r="A2" s="3" t="s">
        <v>15</v>
      </c>
      <c r="B2" s="6" t="s">
        <v>16</v>
      </c>
      <c r="C2" s="6" t="s">
        <v>17</v>
      </c>
      <c r="D2" s="6" t="s">
        <v>18</v>
      </c>
      <c r="E2" s="6">
        <f>F2*100</f>
        <v>92.438149999999993</v>
      </c>
      <c r="F2" s="14">
        <v>0.92438149999999997</v>
      </c>
      <c r="G2" s="6" t="s">
        <v>19</v>
      </c>
      <c r="H2" s="6" t="s">
        <v>20</v>
      </c>
      <c r="I2" s="6" t="s">
        <v>21</v>
      </c>
    </row>
    <row r="3" spans="1:9" ht="15.75" x14ac:dyDescent="0.25">
      <c r="A3" s="3" t="s">
        <v>8</v>
      </c>
      <c r="B3" s="6" t="s">
        <v>9</v>
      </c>
      <c r="C3" s="6" t="s">
        <v>10</v>
      </c>
      <c r="D3" s="6" t="s">
        <v>11</v>
      </c>
      <c r="E3" s="6">
        <f t="shared" ref="E3:E5" si="0">F3*100</f>
        <v>7.4104069999999993</v>
      </c>
      <c r="F3" s="14">
        <v>7.4104069999999994E-2</v>
      </c>
      <c r="G3" s="6" t="s">
        <v>12</v>
      </c>
      <c r="H3" s="6" t="s">
        <v>13</v>
      </c>
      <c r="I3" s="6" t="s">
        <v>14</v>
      </c>
    </row>
    <row r="4" spans="1:9" ht="15.75" x14ac:dyDescent="0.25">
      <c r="A4" s="3" t="s">
        <v>22</v>
      </c>
      <c r="B4" s="6" t="s">
        <v>23</v>
      </c>
      <c r="C4" s="7" t="s">
        <v>24</v>
      </c>
      <c r="D4" s="6" t="s">
        <v>25</v>
      </c>
      <c r="E4" s="6">
        <f t="shared" si="0"/>
        <v>0.15144596000000002</v>
      </c>
      <c r="F4" s="14">
        <v>1.5144596000000001E-3</v>
      </c>
      <c r="G4" s="6" t="s">
        <v>26</v>
      </c>
      <c r="H4" s="6" t="s">
        <v>27</v>
      </c>
      <c r="I4" s="6" t="s">
        <v>28</v>
      </c>
    </row>
    <row r="5" spans="1:9" ht="15.75" x14ac:dyDescent="0.25">
      <c r="A5" s="3" t="s">
        <v>29</v>
      </c>
      <c r="B5" s="6" t="s">
        <v>30</v>
      </c>
      <c r="D5" s="7" t="s">
        <v>24</v>
      </c>
      <c r="E5" s="6">
        <f t="shared" si="0"/>
        <v>0</v>
      </c>
      <c r="F5" s="13">
        <v>0</v>
      </c>
      <c r="G5" s="6" t="s">
        <v>31</v>
      </c>
      <c r="H5" s="6" t="s">
        <v>32</v>
      </c>
      <c r="I5" s="6" t="s">
        <v>33</v>
      </c>
    </row>
  </sheetData>
  <autoFilter ref="A1:I1">
    <sortState ref="A2:I5">
      <sortCondition descending="1" ref="F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
  <sheetViews>
    <sheetView workbookViewId="0">
      <selection sqref="A1:H1"/>
    </sheetView>
  </sheetViews>
  <sheetFormatPr baseColWidth="10" defaultColWidth="9.140625" defaultRowHeight="15" x14ac:dyDescent="0.25"/>
  <cols>
    <col min="1" max="1" width="16.85546875" bestFit="1" customWidth="1"/>
    <col min="2" max="2" width="38.42578125" bestFit="1" customWidth="1"/>
    <col min="3" max="3" width="23.7109375" bestFit="1" customWidth="1"/>
    <col min="4" max="4" width="14.5703125" bestFit="1" customWidth="1"/>
    <col min="5" max="5" width="16.85546875" bestFit="1" customWidth="1"/>
    <col min="6" max="6" width="13.5703125" bestFit="1" customWidth="1"/>
    <col min="7" max="7" width="16" bestFit="1" customWidth="1"/>
    <col min="8" max="8" width="24.42578125" bestFit="1" customWidth="1"/>
  </cols>
  <sheetData>
    <row r="1" spans="1:8" ht="18.75" x14ac:dyDescent="0.3">
      <c r="A1" s="18" t="s">
        <v>34</v>
      </c>
      <c r="B1" s="19"/>
      <c r="C1" s="19"/>
      <c r="D1" s="19"/>
      <c r="E1" s="19"/>
      <c r="F1" s="19"/>
      <c r="G1" s="19"/>
      <c r="H1" s="19"/>
    </row>
    <row r="2" spans="1:8" ht="18.75" x14ac:dyDescent="0.3">
      <c r="A2" s="9" t="s">
        <v>0</v>
      </c>
      <c r="B2" s="9" t="s">
        <v>1</v>
      </c>
      <c r="C2" s="9" t="s">
        <v>2</v>
      </c>
      <c r="D2" s="9" t="s">
        <v>3</v>
      </c>
      <c r="E2" s="9" t="s">
        <v>4</v>
      </c>
      <c r="F2" s="9" t="s">
        <v>5</v>
      </c>
      <c r="G2" s="9" t="s">
        <v>6</v>
      </c>
      <c r="H2" s="9" t="s">
        <v>7</v>
      </c>
    </row>
    <row r="3" spans="1:8" ht="15.75" x14ac:dyDescent="0.25">
      <c r="A3" s="3" t="s">
        <v>35</v>
      </c>
      <c r="B3" s="6" t="s">
        <v>36</v>
      </c>
      <c r="C3" s="6" t="s">
        <v>37</v>
      </c>
      <c r="D3" s="6" t="s">
        <v>38</v>
      </c>
      <c r="E3" s="6" t="s">
        <v>39</v>
      </c>
      <c r="F3" s="6" t="s">
        <v>40</v>
      </c>
      <c r="G3" s="6" t="s">
        <v>41</v>
      </c>
      <c r="H3" s="6" t="s">
        <v>42</v>
      </c>
    </row>
    <row r="4" spans="1:8" ht="15.75" x14ac:dyDescent="0.25">
      <c r="A4" s="3" t="s">
        <v>43</v>
      </c>
      <c r="B4" s="6" t="s">
        <v>44</v>
      </c>
      <c r="C4" s="6" t="s">
        <v>45</v>
      </c>
      <c r="D4" s="6" t="s">
        <v>46</v>
      </c>
      <c r="E4" s="6" t="s">
        <v>47</v>
      </c>
      <c r="F4" s="6" t="s">
        <v>48</v>
      </c>
      <c r="G4" s="6" t="s">
        <v>49</v>
      </c>
      <c r="H4" s="6" t="s">
        <v>50</v>
      </c>
    </row>
    <row r="5" spans="1:8" ht="15.75" x14ac:dyDescent="0.25">
      <c r="A5" s="3" t="s">
        <v>51</v>
      </c>
      <c r="B5" s="6" t="s">
        <v>52</v>
      </c>
      <c r="C5" s="7" t="s">
        <v>24</v>
      </c>
      <c r="D5" s="6" t="s">
        <v>53</v>
      </c>
      <c r="E5" s="6" t="s">
        <v>54</v>
      </c>
      <c r="F5" s="6" t="s">
        <v>55</v>
      </c>
      <c r="G5" s="6" t="s">
        <v>56</v>
      </c>
      <c r="H5" s="6" t="s">
        <v>57</v>
      </c>
    </row>
    <row r="6" spans="1:8" ht="15.75" x14ac:dyDescent="0.25">
      <c r="A6" s="3" t="s">
        <v>58</v>
      </c>
      <c r="B6" s="6" t="s">
        <v>59</v>
      </c>
      <c r="D6" s="7" t="s">
        <v>24</v>
      </c>
      <c r="E6" s="7" t="s">
        <v>24</v>
      </c>
      <c r="F6" s="6" t="s">
        <v>60</v>
      </c>
      <c r="G6" s="6" t="s">
        <v>61</v>
      </c>
      <c r="H6" s="6" t="s">
        <v>62</v>
      </c>
    </row>
    <row r="7" spans="1:8" ht="15.75" x14ac:dyDescent="0.25">
      <c r="A7" s="3" t="s">
        <v>63</v>
      </c>
    </row>
    <row r="8" spans="1:8" ht="15.75" x14ac:dyDescent="0.25">
      <c r="A8" s="3" t="s">
        <v>64</v>
      </c>
    </row>
    <row r="9" spans="1:8" ht="15.75" x14ac:dyDescent="0.25">
      <c r="A9" s="3" t="s">
        <v>65</v>
      </c>
      <c r="B9" s="6" t="s">
        <v>66</v>
      </c>
      <c r="C9" s="6" t="s">
        <v>67</v>
      </c>
      <c r="D9" s="6" t="s">
        <v>68</v>
      </c>
      <c r="E9" s="6" t="s">
        <v>69</v>
      </c>
      <c r="F9" s="6" t="s">
        <v>70</v>
      </c>
      <c r="G9" s="6" t="s">
        <v>71</v>
      </c>
      <c r="H9" s="6" t="s">
        <v>72</v>
      </c>
    </row>
    <row r="10" spans="1:8" ht="15.75" x14ac:dyDescent="0.25">
      <c r="A10" s="3" t="s">
        <v>73</v>
      </c>
      <c r="B10" s="6" t="s">
        <v>74</v>
      </c>
      <c r="C10" s="7" t="s">
        <v>24</v>
      </c>
      <c r="D10" s="6" t="s">
        <v>75</v>
      </c>
      <c r="E10" s="6" t="s">
        <v>76</v>
      </c>
      <c r="F10" s="6" t="s">
        <v>77</v>
      </c>
      <c r="G10" s="6" t="s">
        <v>78</v>
      </c>
      <c r="H10" s="6" t="s">
        <v>79</v>
      </c>
    </row>
    <row r="11" spans="1:8" ht="15.75" x14ac:dyDescent="0.25">
      <c r="A11" s="3" t="s">
        <v>80</v>
      </c>
      <c r="B11" s="6" t="s">
        <v>81</v>
      </c>
      <c r="D11" s="7" t="s">
        <v>24</v>
      </c>
      <c r="E11" s="7" t="s">
        <v>24</v>
      </c>
      <c r="F11" s="6" t="s">
        <v>82</v>
      </c>
      <c r="G11" s="6" t="s">
        <v>83</v>
      </c>
      <c r="H11" s="6" t="s">
        <v>84</v>
      </c>
    </row>
    <row r="12" spans="1:8" ht="15.75" x14ac:dyDescent="0.25">
      <c r="A12" s="3" t="s">
        <v>85</v>
      </c>
    </row>
    <row r="13" spans="1:8" ht="15.75" x14ac:dyDescent="0.25">
      <c r="A13" s="3" t="s">
        <v>86</v>
      </c>
    </row>
    <row r="14" spans="1:8" ht="15.75" x14ac:dyDescent="0.25">
      <c r="A14" s="3" t="s">
        <v>87</v>
      </c>
      <c r="B14" s="6" t="s">
        <v>88</v>
      </c>
      <c r="C14" s="7" t="s">
        <v>24</v>
      </c>
      <c r="D14" s="7" t="s">
        <v>89</v>
      </c>
      <c r="E14" s="7" t="s">
        <v>90</v>
      </c>
      <c r="F14" s="6" t="s">
        <v>91</v>
      </c>
      <c r="G14" s="6" t="s">
        <v>92</v>
      </c>
      <c r="H14" s="6" t="s">
        <v>93</v>
      </c>
    </row>
    <row r="15" spans="1:8" ht="15.75" x14ac:dyDescent="0.25">
      <c r="A15" s="3" t="s">
        <v>94</v>
      </c>
      <c r="B15" s="6" t="s">
        <v>95</v>
      </c>
      <c r="D15" s="7" t="s">
        <v>24</v>
      </c>
      <c r="E15" s="7" t="s">
        <v>24</v>
      </c>
      <c r="F15" s="6" t="s">
        <v>96</v>
      </c>
      <c r="G15" s="6" t="s">
        <v>97</v>
      </c>
      <c r="H15" s="6" t="s">
        <v>98</v>
      </c>
    </row>
    <row r="16" spans="1:8" ht="15.75" x14ac:dyDescent="0.25">
      <c r="A16" s="3" t="s">
        <v>99</v>
      </c>
    </row>
    <row r="17" spans="1:8" ht="15.75" x14ac:dyDescent="0.25">
      <c r="A17" s="3" t="s">
        <v>100</v>
      </c>
    </row>
    <row r="18" spans="1:8" ht="15.75" x14ac:dyDescent="0.25">
      <c r="A18" s="3" t="s">
        <v>101</v>
      </c>
      <c r="B18" s="6" t="s">
        <v>102</v>
      </c>
      <c r="D18" s="7" t="s">
        <v>24</v>
      </c>
      <c r="E18" s="7" t="s">
        <v>24</v>
      </c>
      <c r="F18" s="6" t="s">
        <v>103</v>
      </c>
      <c r="G18" s="7" t="s">
        <v>104</v>
      </c>
      <c r="H18" s="6" t="s">
        <v>105</v>
      </c>
    </row>
    <row r="19" spans="1:8" ht="15.75" x14ac:dyDescent="0.25">
      <c r="A19" s="3" t="s">
        <v>106</v>
      </c>
    </row>
    <row r="20" spans="1:8" ht="15.75" x14ac:dyDescent="0.25">
      <c r="A20" s="3" t="s">
        <v>107</v>
      </c>
    </row>
    <row r="21" spans="1:8" ht="15.75" x14ac:dyDescent="0.25">
      <c r="A21" s="3" t="s">
        <v>108</v>
      </c>
    </row>
    <row r="22" spans="1:8" ht="15.75" x14ac:dyDescent="0.25">
      <c r="A22" s="3" t="s">
        <v>109</v>
      </c>
    </row>
    <row r="23" spans="1:8" ht="15.75" x14ac:dyDescent="0.25">
      <c r="A23" s="3" t="s">
        <v>110</v>
      </c>
    </row>
  </sheetData>
  <mergeCells count="1">
    <mergeCell ref="A1:H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Views>
    <sheetView workbookViewId="0">
      <selection activeCell="C11" sqref="C11"/>
    </sheetView>
  </sheetViews>
  <sheetFormatPr baseColWidth="10" defaultColWidth="9.140625" defaultRowHeight="15" x14ac:dyDescent="0.25"/>
  <cols>
    <col min="1" max="1" width="30.140625" bestFit="1" customWidth="1"/>
    <col min="2" max="2" width="38.42578125" bestFit="1" customWidth="1"/>
    <col min="3" max="3" width="23.7109375" bestFit="1" customWidth="1"/>
    <col min="4" max="4" width="13" bestFit="1" customWidth="1"/>
    <col min="5" max="5" width="12.42578125" style="15" bestFit="1" customWidth="1"/>
    <col min="6" max="6" width="12.42578125" bestFit="1" customWidth="1"/>
    <col min="7" max="7" width="16" bestFit="1" customWidth="1"/>
    <col min="8" max="8" width="24.42578125" bestFit="1" customWidth="1"/>
  </cols>
  <sheetData>
    <row r="1" spans="1:8" ht="18.75" x14ac:dyDescent="0.3">
      <c r="A1" s="18" t="s">
        <v>111</v>
      </c>
      <c r="B1" s="19"/>
      <c r="C1" s="19"/>
      <c r="D1" s="19"/>
      <c r="E1" s="19"/>
      <c r="F1" s="19"/>
      <c r="G1" s="19"/>
      <c r="H1" s="19"/>
    </row>
    <row r="2" spans="1:8" ht="18.75" x14ac:dyDescent="0.3">
      <c r="A2" s="9" t="s">
        <v>112</v>
      </c>
      <c r="B2" s="9" t="s">
        <v>1</v>
      </c>
      <c r="C2" s="9" t="s">
        <v>2</v>
      </c>
      <c r="D2" s="9" t="s">
        <v>3</v>
      </c>
      <c r="E2" s="12" t="s">
        <v>4</v>
      </c>
      <c r="F2" s="9" t="s">
        <v>5</v>
      </c>
      <c r="G2" s="9" t="s">
        <v>6</v>
      </c>
      <c r="H2" s="9" t="s">
        <v>7</v>
      </c>
    </row>
    <row r="3" spans="1:8" ht="15.75" x14ac:dyDescent="0.25">
      <c r="A3" s="3" t="s">
        <v>113</v>
      </c>
      <c r="B3" s="7" t="s">
        <v>24</v>
      </c>
      <c r="C3" s="7" t="s">
        <v>24</v>
      </c>
      <c r="D3" s="7" t="s">
        <v>24</v>
      </c>
      <c r="E3" s="13" t="s">
        <v>24</v>
      </c>
      <c r="F3" s="7" t="s">
        <v>24</v>
      </c>
      <c r="G3" s="7" t="s">
        <v>24</v>
      </c>
      <c r="H3" s="7" t="s">
        <v>24</v>
      </c>
    </row>
    <row r="4" spans="1:8" ht="15.75" x14ac:dyDescent="0.25">
      <c r="A4" s="3" t="s">
        <v>114</v>
      </c>
      <c r="B4" s="6" t="s">
        <v>115</v>
      </c>
      <c r="C4" s="6" t="s">
        <v>67</v>
      </c>
      <c r="D4" s="6" t="s">
        <v>116</v>
      </c>
      <c r="E4" s="14">
        <v>0.85728335</v>
      </c>
      <c r="F4" s="6" t="s">
        <v>117</v>
      </c>
      <c r="G4" s="6" t="s">
        <v>118</v>
      </c>
      <c r="H4" s="6" t="s">
        <v>119</v>
      </c>
    </row>
    <row r="5" spans="1:8" ht="15.75" x14ac:dyDescent="0.25">
      <c r="A5" s="3" t="s">
        <v>120</v>
      </c>
      <c r="B5" s="6" t="s">
        <v>36</v>
      </c>
      <c r="C5" s="6" t="s">
        <v>37</v>
      </c>
      <c r="D5" s="6" t="s">
        <v>38</v>
      </c>
      <c r="E5" s="14">
        <v>5.4914129999999997E-3</v>
      </c>
      <c r="F5" s="6" t="s">
        <v>40</v>
      </c>
      <c r="G5" s="6" t="s">
        <v>41</v>
      </c>
      <c r="H5" s="6" t="s">
        <v>42</v>
      </c>
    </row>
    <row r="6" spans="1:8" ht="15.75" x14ac:dyDescent="0.25">
      <c r="A6" s="3" t="s">
        <v>121</v>
      </c>
      <c r="B6" s="6" t="s">
        <v>122</v>
      </c>
      <c r="C6" s="6" t="s">
        <v>45</v>
      </c>
      <c r="D6" s="6" t="s">
        <v>123</v>
      </c>
      <c r="E6" s="14">
        <v>0.13722530999999999</v>
      </c>
      <c r="F6" s="6" t="s">
        <v>124</v>
      </c>
      <c r="G6" s="6" t="s">
        <v>125</v>
      </c>
      <c r="H6" s="6" t="s">
        <v>126</v>
      </c>
    </row>
    <row r="7" spans="1:8" ht="15.75" x14ac:dyDescent="0.25">
      <c r="A7" s="3" t="s">
        <v>127</v>
      </c>
      <c r="B7" s="7" t="s">
        <v>24</v>
      </c>
      <c r="C7" s="7" t="s">
        <v>24</v>
      </c>
      <c r="D7" s="7" t="s">
        <v>24</v>
      </c>
      <c r="E7" s="13" t="s">
        <v>24</v>
      </c>
      <c r="F7" s="7" t="s">
        <v>24</v>
      </c>
      <c r="G7" s="7" t="s">
        <v>24</v>
      </c>
      <c r="H7" s="7" t="s">
        <v>24</v>
      </c>
    </row>
  </sheetData>
  <mergeCells count="1">
    <mergeCell ref="A1:H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2"/>
  <sheetViews>
    <sheetView workbookViewId="0"/>
  </sheetViews>
  <sheetFormatPr baseColWidth="10" defaultColWidth="9.140625" defaultRowHeight="15" x14ac:dyDescent="0.25"/>
  <cols>
    <col min="1" max="1" width="31" bestFit="1" customWidth="1"/>
    <col min="2" max="2" width="6.42578125" bestFit="1" customWidth="1"/>
    <col min="3" max="3" width="9.7109375" bestFit="1" customWidth="1"/>
    <col min="4" max="4" width="29.28515625" bestFit="1" customWidth="1"/>
    <col min="5" max="5" width="26.7109375" bestFit="1" customWidth="1"/>
    <col min="6" max="6" width="28.85546875" bestFit="1" customWidth="1"/>
    <col min="7" max="7" width="44.28515625" bestFit="1" customWidth="1"/>
    <col min="8" max="8" width="25.85546875" bestFit="1" customWidth="1"/>
    <col min="9" max="9" width="7" bestFit="1" customWidth="1"/>
    <col min="10" max="10" width="5.85546875" bestFit="1" customWidth="1"/>
    <col min="11" max="11" width="9.140625" bestFit="1" customWidth="1"/>
    <col min="12" max="12" width="8" bestFit="1" customWidth="1"/>
    <col min="13" max="14" width="3.7109375" bestFit="1" customWidth="1"/>
  </cols>
  <sheetData>
    <row r="1" spans="1:15" ht="18.75" x14ac:dyDescent="0.3">
      <c r="A1" s="9" t="s">
        <v>128</v>
      </c>
      <c r="B1" s="9" t="s">
        <v>129</v>
      </c>
      <c r="C1" s="9" t="s">
        <v>130</v>
      </c>
      <c r="D1" s="9" t="s">
        <v>131</v>
      </c>
      <c r="E1" s="9" t="s">
        <v>132</v>
      </c>
      <c r="F1" s="9" t="s">
        <v>133</v>
      </c>
      <c r="G1" s="9" t="s">
        <v>134</v>
      </c>
      <c r="H1" s="9" t="s">
        <v>135</v>
      </c>
      <c r="I1" s="9" t="s">
        <v>8</v>
      </c>
      <c r="J1" s="9" t="s">
        <v>15</v>
      </c>
      <c r="K1" s="9" t="s">
        <v>22</v>
      </c>
      <c r="L1" s="9" t="s">
        <v>29</v>
      </c>
      <c r="M1" s="9" t="s">
        <v>136</v>
      </c>
      <c r="N1" s="9" t="s">
        <v>137</v>
      </c>
    </row>
    <row r="2" spans="1:15" x14ac:dyDescent="0.25">
      <c r="A2" s="20" t="s">
        <v>1</v>
      </c>
      <c r="B2" s="20" t="s">
        <v>138</v>
      </c>
      <c r="C2" s="20" t="s">
        <v>138</v>
      </c>
      <c r="D2" s="20" t="s">
        <v>138</v>
      </c>
      <c r="E2" s="20" t="s">
        <v>138</v>
      </c>
      <c r="F2" s="20" t="s">
        <v>138</v>
      </c>
      <c r="G2" s="20" t="s">
        <v>138</v>
      </c>
      <c r="H2" s="20" t="s">
        <v>138</v>
      </c>
      <c r="I2" s="20" t="s">
        <v>138</v>
      </c>
      <c r="J2" s="20" t="s">
        <v>138</v>
      </c>
      <c r="K2" s="20" t="s">
        <v>138</v>
      </c>
      <c r="L2" s="20" t="s">
        <v>138</v>
      </c>
      <c r="M2" s="20" t="s">
        <v>138</v>
      </c>
      <c r="N2" s="20" t="s">
        <v>138</v>
      </c>
      <c r="O2" s="19"/>
    </row>
    <row r="3" spans="1:15" ht="15.75" x14ac:dyDescent="0.25">
      <c r="A3" s="2" t="s">
        <v>139</v>
      </c>
      <c r="B3" s="5">
        <v>2001</v>
      </c>
      <c r="C3" s="2" t="s">
        <v>140</v>
      </c>
      <c r="D3" s="2" t="s">
        <v>1</v>
      </c>
      <c r="E3" s="2" t="s">
        <v>141</v>
      </c>
      <c r="F3" s="2"/>
      <c r="G3" s="2" t="s">
        <v>142</v>
      </c>
      <c r="H3" s="5">
        <v>20</v>
      </c>
      <c r="I3" s="2" t="s">
        <v>143</v>
      </c>
      <c r="J3" s="2" t="s">
        <v>144</v>
      </c>
      <c r="K3" s="2" t="s">
        <v>145</v>
      </c>
    </row>
    <row r="4" spans="1:15" ht="15.75" x14ac:dyDescent="0.25">
      <c r="A4" s="2" t="s">
        <v>146</v>
      </c>
      <c r="B4" s="5">
        <v>2003</v>
      </c>
      <c r="C4" s="2" t="s">
        <v>147</v>
      </c>
      <c r="D4" s="2" t="s">
        <v>1</v>
      </c>
      <c r="E4" s="2" t="s">
        <v>141</v>
      </c>
      <c r="F4" s="2"/>
      <c r="G4" s="2" t="s">
        <v>148</v>
      </c>
      <c r="H4" s="5">
        <v>34</v>
      </c>
      <c r="I4" s="2" t="s">
        <v>149</v>
      </c>
      <c r="J4" s="2" t="s">
        <v>150</v>
      </c>
    </row>
    <row r="5" spans="1:15" ht="15.75" x14ac:dyDescent="0.25">
      <c r="A5" s="2" t="s">
        <v>151</v>
      </c>
      <c r="B5" s="5">
        <v>2003</v>
      </c>
      <c r="C5" s="2" t="s">
        <v>152</v>
      </c>
      <c r="D5" s="2" t="s">
        <v>1</v>
      </c>
      <c r="E5" s="2" t="s">
        <v>141</v>
      </c>
      <c r="F5" s="2"/>
      <c r="G5" s="2" t="s">
        <v>148</v>
      </c>
      <c r="H5" s="5">
        <v>25</v>
      </c>
      <c r="I5" s="2" t="s">
        <v>153</v>
      </c>
      <c r="J5" s="2" t="s">
        <v>154</v>
      </c>
    </row>
    <row r="6" spans="1:15" ht="15.75" x14ac:dyDescent="0.25">
      <c r="A6" s="2" t="s">
        <v>155</v>
      </c>
      <c r="B6" s="5">
        <v>2003</v>
      </c>
      <c r="C6" s="2" t="s">
        <v>156</v>
      </c>
      <c r="D6" s="2" t="s">
        <v>1</v>
      </c>
      <c r="E6" s="2" t="s">
        <v>141</v>
      </c>
      <c r="F6" s="2"/>
      <c r="G6" s="2" t="s">
        <v>157</v>
      </c>
      <c r="H6" s="5">
        <v>57</v>
      </c>
      <c r="I6" s="2" t="s">
        <v>158</v>
      </c>
      <c r="J6" s="2" t="s">
        <v>159</v>
      </c>
      <c r="K6" s="2" t="s">
        <v>160</v>
      </c>
    </row>
    <row r="7" spans="1:15" ht="15.75" x14ac:dyDescent="0.25">
      <c r="A7" s="2" t="s">
        <v>161</v>
      </c>
      <c r="B7" s="5">
        <v>2006</v>
      </c>
      <c r="C7" s="2" t="s">
        <v>162</v>
      </c>
      <c r="D7" s="2" t="s">
        <v>1</v>
      </c>
      <c r="E7" s="2" t="s">
        <v>141</v>
      </c>
      <c r="F7" s="2"/>
      <c r="G7" s="2" t="s">
        <v>148</v>
      </c>
      <c r="H7" s="5">
        <v>15</v>
      </c>
      <c r="I7" s="2" t="s">
        <v>163</v>
      </c>
      <c r="J7" s="2" t="s">
        <v>164</v>
      </c>
      <c r="K7" s="2" t="s">
        <v>165</v>
      </c>
    </row>
    <row r="8" spans="1:15" ht="15.75" x14ac:dyDescent="0.25">
      <c r="A8" s="2" t="s">
        <v>166</v>
      </c>
      <c r="B8" s="5">
        <v>2007</v>
      </c>
      <c r="C8" s="2" t="s">
        <v>167</v>
      </c>
      <c r="D8" s="2" t="s">
        <v>1</v>
      </c>
      <c r="E8" s="2" t="s">
        <v>141</v>
      </c>
      <c r="F8" s="2"/>
      <c r="G8" s="2" t="s">
        <v>168</v>
      </c>
      <c r="H8" s="5">
        <v>124</v>
      </c>
      <c r="I8" s="2" t="s">
        <v>169</v>
      </c>
      <c r="J8" s="2" t="s">
        <v>170</v>
      </c>
      <c r="K8" s="2" t="s">
        <v>171</v>
      </c>
    </row>
    <row r="9" spans="1:15" ht="15.75" x14ac:dyDescent="0.25">
      <c r="A9" s="2" t="s">
        <v>172</v>
      </c>
      <c r="B9" s="5">
        <v>2011</v>
      </c>
      <c r="C9" s="2" t="s">
        <v>173</v>
      </c>
      <c r="D9" s="2" t="s">
        <v>1</v>
      </c>
      <c r="E9" s="2" t="s">
        <v>141</v>
      </c>
      <c r="F9" s="2"/>
      <c r="G9" s="2" t="s">
        <v>174</v>
      </c>
      <c r="H9" s="5">
        <v>144</v>
      </c>
      <c r="I9" s="2" t="s">
        <v>169</v>
      </c>
      <c r="J9" s="2" t="s">
        <v>175</v>
      </c>
    </row>
    <row r="10" spans="1:15" ht="15.75" x14ac:dyDescent="0.25">
      <c r="A10" s="2" t="s">
        <v>176</v>
      </c>
      <c r="B10" s="5">
        <v>2012</v>
      </c>
      <c r="C10" s="2" t="s">
        <v>177</v>
      </c>
      <c r="D10" s="2" t="s">
        <v>1</v>
      </c>
      <c r="E10" s="2" t="s">
        <v>141</v>
      </c>
      <c r="F10" s="2"/>
      <c r="G10" s="2" t="s">
        <v>178</v>
      </c>
      <c r="H10" s="5">
        <v>61</v>
      </c>
      <c r="I10" s="2" t="s">
        <v>154</v>
      </c>
      <c r="J10" s="2" t="s">
        <v>179</v>
      </c>
      <c r="K10" s="2" t="s">
        <v>180</v>
      </c>
      <c r="L10" s="2" t="s">
        <v>30</v>
      </c>
    </row>
    <row r="11" spans="1:15" ht="15.75" x14ac:dyDescent="0.25">
      <c r="H11" s="10" t="s">
        <v>182</v>
      </c>
      <c r="I11" s="11" t="s">
        <v>184</v>
      </c>
      <c r="J11" s="11" t="s">
        <v>185</v>
      </c>
      <c r="K11" s="11" t="s">
        <v>186</v>
      </c>
      <c r="L11" s="11" t="s">
        <v>30</v>
      </c>
      <c r="M11" s="11"/>
      <c r="N11" s="11"/>
    </row>
    <row r="12" spans="1:15" ht="15.75" x14ac:dyDescent="0.25">
      <c r="H12" s="10" t="s">
        <v>181</v>
      </c>
      <c r="I12" s="11" t="s">
        <v>143</v>
      </c>
      <c r="J12" s="11" t="s">
        <v>170</v>
      </c>
      <c r="K12" s="11" t="s">
        <v>145</v>
      </c>
      <c r="L12" s="11" t="s">
        <v>30</v>
      </c>
      <c r="M12" s="11"/>
      <c r="N12" s="11"/>
    </row>
    <row r="13" spans="1:15" ht="15.75" x14ac:dyDescent="0.25">
      <c r="H13" s="10" t="s">
        <v>183</v>
      </c>
      <c r="I13" s="11" t="s">
        <v>149</v>
      </c>
      <c r="J13" s="11" t="s">
        <v>144</v>
      </c>
      <c r="K13" s="11" t="s">
        <v>165</v>
      </c>
      <c r="L13" s="11" t="s">
        <v>30</v>
      </c>
      <c r="M13" s="11"/>
      <c r="N13" s="11"/>
    </row>
    <row r="15" spans="1:15" x14ac:dyDescent="0.25">
      <c r="A15" s="20" t="s">
        <v>2</v>
      </c>
      <c r="B15" s="20" t="s">
        <v>138</v>
      </c>
      <c r="C15" s="20" t="s">
        <v>138</v>
      </c>
      <c r="D15" s="20" t="s">
        <v>138</v>
      </c>
      <c r="E15" s="20" t="s">
        <v>138</v>
      </c>
      <c r="F15" s="20" t="s">
        <v>138</v>
      </c>
      <c r="G15" s="20" t="s">
        <v>138</v>
      </c>
      <c r="H15" s="20" t="s">
        <v>138</v>
      </c>
      <c r="I15" s="20" t="s">
        <v>138</v>
      </c>
      <c r="J15" s="20" t="s">
        <v>138</v>
      </c>
      <c r="K15" s="20" t="s">
        <v>138</v>
      </c>
      <c r="L15" s="20" t="s">
        <v>138</v>
      </c>
      <c r="M15" s="20" t="s">
        <v>138</v>
      </c>
      <c r="N15" s="20" t="s">
        <v>138</v>
      </c>
      <c r="O15" s="19"/>
    </row>
    <row r="16" spans="1:15" ht="15.75" x14ac:dyDescent="0.25">
      <c r="A16" s="2" t="s">
        <v>187</v>
      </c>
      <c r="B16" s="5">
        <v>2003</v>
      </c>
      <c r="C16" s="2" t="s">
        <v>188</v>
      </c>
      <c r="D16" s="2" t="s">
        <v>2</v>
      </c>
      <c r="E16" s="2" t="s">
        <v>189</v>
      </c>
      <c r="F16" s="2"/>
      <c r="G16" s="2" t="s">
        <v>148</v>
      </c>
      <c r="H16" s="5">
        <v>90</v>
      </c>
      <c r="I16" s="2" t="s">
        <v>190</v>
      </c>
      <c r="J16" s="2" t="s">
        <v>191</v>
      </c>
      <c r="K16" s="2" t="s">
        <v>24</v>
      </c>
    </row>
    <row r="17" spans="1:15" ht="15.75" x14ac:dyDescent="0.25">
      <c r="A17" s="2" t="s">
        <v>155</v>
      </c>
      <c r="B17" s="5">
        <v>2003</v>
      </c>
      <c r="C17" s="2" t="s">
        <v>156</v>
      </c>
      <c r="D17" s="2" t="s">
        <v>2</v>
      </c>
      <c r="E17" s="2" t="s">
        <v>189</v>
      </c>
      <c r="F17" s="2" t="s">
        <v>192</v>
      </c>
      <c r="G17" s="2" t="s">
        <v>157</v>
      </c>
      <c r="H17" s="5">
        <v>101</v>
      </c>
      <c r="I17" s="2" t="s">
        <v>193</v>
      </c>
      <c r="J17" s="2" t="s">
        <v>194</v>
      </c>
    </row>
    <row r="18" spans="1:15" ht="15.75" x14ac:dyDescent="0.25">
      <c r="A18" s="2" t="s">
        <v>195</v>
      </c>
      <c r="B18" s="5">
        <v>2007</v>
      </c>
      <c r="C18" s="2" t="s">
        <v>196</v>
      </c>
      <c r="D18" s="2" t="s">
        <v>2</v>
      </c>
      <c r="E18" s="2" t="s">
        <v>197</v>
      </c>
      <c r="F18" s="2" t="s">
        <v>198</v>
      </c>
      <c r="G18" s="2" t="s">
        <v>148</v>
      </c>
      <c r="H18" s="5">
        <v>108</v>
      </c>
      <c r="I18" s="2" t="s">
        <v>199</v>
      </c>
      <c r="J18" s="2" t="s">
        <v>200</v>
      </c>
    </row>
    <row r="19" spans="1:15" ht="15.75" x14ac:dyDescent="0.25">
      <c r="A19" s="2" t="s">
        <v>201</v>
      </c>
      <c r="B19" s="5">
        <v>2010</v>
      </c>
      <c r="C19" s="2" t="s">
        <v>202</v>
      </c>
      <c r="D19" s="2" t="s">
        <v>2</v>
      </c>
      <c r="E19" s="2" t="s">
        <v>189</v>
      </c>
      <c r="F19" s="2"/>
      <c r="G19" s="2" t="s">
        <v>174</v>
      </c>
      <c r="H19" s="5">
        <v>44</v>
      </c>
      <c r="I19" s="2" t="s">
        <v>179</v>
      </c>
      <c r="J19" s="2" t="s">
        <v>203</v>
      </c>
    </row>
    <row r="20" spans="1:15" ht="15.75" x14ac:dyDescent="0.25">
      <c r="A20" s="2" t="s">
        <v>204</v>
      </c>
      <c r="B20" s="5">
        <v>2010</v>
      </c>
      <c r="C20" s="2" t="s">
        <v>205</v>
      </c>
      <c r="D20" s="2" t="s">
        <v>2</v>
      </c>
      <c r="E20" s="2" t="s">
        <v>189</v>
      </c>
      <c r="F20" s="2" t="s">
        <v>206</v>
      </c>
      <c r="G20" s="2" t="s">
        <v>148</v>
      </c>
      <c r="H20" s="5">
        <v>208</v>
      </c>
      <c r="I20" s="2" t="s">
        <v>207</v>
      </c>
      <c r="J20" s="2" t="s">
        <v>208</v>
      </c>
      <c r="K20" s="2" t="s">
        <v>24</v>
      </c>
    </row>
    <row r="21" spans="1:15" ht="15.75" x14ac:dyDescent="0.25">
      <c r="A21" s="2" t="s">
        <v>209</v>
      </c>
      <c r="B21" s="5">
        <v>2011</v>
      </c>
      <c r="C21" s="2" t="s">
        <v>210</v>
      </c>
      <c r="D21" s="2" t="s">
        <v>2</v>
      </c>
      <c r="E21" s="2" t="s">
        <v>211</v>
      </c>
      <c r="F21" s="2"/>
      <c r="G21" s="2" t="s">
        <v>148</v>
      </c>
      <c r="H21" s="5">
        <v>200</v>
      </c>
      <c r="I21" s="2" t="s">
        <v>212</v>
      </c>
      <c r="J21" s="2" t="s">
        <v>213</v>
      </c>
    </row>
    <row r="22" spans="1:15" ht="15.75" x14ac:dyDescent="0.25">
      <c r="A22" s="2" t="s">
        <v>214</v>
      </c>
      <c r="B22" s="5">
        <v>2012</v>
      </c>
      <c r="C22" s="2" t="s">
        <v>215</v>
      </c>
      <c r="D22" s="2" t="s">
        <v>2</v>
      </c>
      <c r="E22" s="2" t="s">
        <v>189</v>
      </c>
      <c r="F22" s="2"/>
      <c r="G22" s="2" t="s">
        <v>148</v>
      </c>
      <c r="H22" s="5">
        <v>652</v>
      </c>
      <c r="I22" s="2" t="s">
        <v>216</v>
      </c>
      <c r="J22" s="2" t="s">
        <v>217</v>
      </c>
      <c r="K22" s="2" t="s">
        <v>24</v>
      </c>
    </row>
    <row r="23" spans="1:15" ht="15.75" x14ac:dyDescent="0.25">
      <c r="A23" s="2" t="s">
        <v>218</v>
      </c>
      <c r="B23" s="5">
        <v>2014</v>
      </c>
      <c r="C23" s="2" t="s">
        <v>219</v>
      </c>
      <c r="D23" s="2" t="s">
        <v>2</v>
      </c>
      <c r="E23" s="2" t="s">
        <v>211</v>
      </c>
      <c r="F23" s="2"/>
      <c r="G23" s="2" t="s">
        <v>148</v>
      </c>
      <c r="H23" s="5">
        <v>116</v>
      </c>
      <c r="I23" s="2" t="s">
        <v>220</v>
      </c>
      <c r="J23" s="2" t="s">
        <v>221</v>
      </c>
      <c r="K23" s="2" t="s">
        <v>24</v>
      </c>
    </row>
    <row r="24" spans="1:15" ht="15.75" x14ac:dyDescent="0.25">
      <c r="H24" s="10" t="s">
        <v>182</v>
      </c>
      <c r="I24" s="11" t="s">
        <v>222</v>
      </c>
      <c r="J24" s="11" t="s">
        <v>223</v>
      </c>
      <c r="K24" s="11" t="s">
        <v>24</v>
      </c>
      <c r="L24" s="11"/>
      <c r="M24" s="11"/>
      <c r="N24" s="11"/>
    </row>
    <row r="25" spans="1:15" ht="15.75" x14ac:dyDescent="0.25">
      <c r="H25" s="10" t="s">
        <v>181</v>
      </c>
      <c r="I25" s="11" t="s">
        <v>199</v>
      </c>
      <c r="J25" s="11" t="s">
        <v>191</v>
      </c>
      <c r="K25" s="11" t="s">
        <v>224</v>
      </c>
      <c r="L25" s="11"/>
      <c r="M25" s="11"/>
      <c r="N25" s="11"/>
    </row>
    <row r="26" spans="1:15" ht="15.75" x14ac:dyDescent="0.25">
      <c r="H26" s="10" t="s">
        <v>183</v>
      </c>
      <c r="I26" s="11" t="s">
        <v>190</v>
      </c>
      <c r="J26" s="11" t="s">
        <v>200</v>
      </c>
      <c r="K26" s="11" t="s">
        <v>224</v>
      </c>
      <c r="L26" s="11"/>
      <c r="M26" s="11"/>
      <c r="N26" s="11"/>
    </row>
    <row r="28" spans="1:15" x14ac:dyDescent="0.25">
      <c r="A28" s="20" t="s">
        <v>3</v>
      </c>
      <c r="B28" s="20" t="s">
        <v>138</v>
      </c>
      <c r="C28" s="20" t="s">
        <v>138</v>
      </c>
      <c r="D28" s="20" t="s">
        <v>138</v>
      </c>
      <c r="E28" s="20" t="s">
        <v>138</v>
      </c>
      <c r="F28" s="20" t="s">
        <v>138</v>
      </c>
      <c r="G28" s="20" t="s">
        <v>138</v>
      </c>
      <c r="H28" s="20" t="s">
        <v>138</v>
      </c>
      <c r="I28" s="20" t="s">
        <v>138</v>
      </c>
      <c r="J28" s="20" t="s">
        <v>138</v>
      </c>
      <c r="K28" s="20" t="s">
        <v>138</v>
      </c>
      <c r="L28" s="20" t="s">
        <v>138</v>
      </c>
      <c r="M28" s="20" t="s">
        <v>138</v>
      </c>
      <c r="N28" s="20" t="s">
        <v>138</v>
      </c>
      <c r="O28" s="19"/>
    </row>
    <row r="29" spans="1:15" ht="15.75" x14ac:dyDescent="0.25">
      <c r="A29" s="2" t="s">
        <v>225</v>
      </c>
      <c r="B29" s="5">
        <v>2002</v>
      </c>
      <c r="C29" s="2" t="s">
        <v>226</v>
      </c>
      <c r="D29" s="2" t="s">
        <v>3</v>
      </c>
      <c r="E29" s="2" t="s">
        <v>227</v>
      </c>
      <c r="F29" s="2"/>
      <c r="G29" s="2" t="s">
        <v>148</v>
      </c>
      <c r="H29" s="5">
        <v>200</v>
      </c>
      <c r="I29" s="2" t="s">
        <v>228</v>
      </c>
      <c r="J29" s="2" t="s">
        <v>229</v>
      </c>
      <c r="K29" s="2" t="s">
        <v>24</v>
      </c>
    </row>
    <row r="30" spans="1:15" ht="15.75" x14ac:dyDescent="0.25">
      <c r="A30" s="2" t="s">
        <v>230</v>
      </c>
      <c r="B30" s="5">
        <v>2002</v>
      </c>
      <c r="C30" s="2" t="s">
        <v>231</v>
      </c>
      <c r="D30" s="2" t="s">
        <v>3</v>
      </c>
      <c r="E30" s="2" t="s">
        <v>227</v>
      </c>
      <c r="F30" s="2"/>
      <c r="G30" s="2" t="s">
        <v>142</v>
      </c>
      <c r="H30" s="5">
        <v>265</v>
      </c>
      <c r="I30" s="2" t="s">
        <v>232</v>
      </c>
      <c r="J30" s="2" t="s">
        <v>233</v>
      </c>
    </row>
    <row r="31" spans="1:15" ht="15.75" x14ac:dyDescent="0.25">
      <c r="A31" s="2" t="s">
        <v>234</v>
      </c>
      <c r="B31" s="5">
        <v>2002</v>
      </c>
      <c r="C31" s="2" t="s">
        <v>235</v>
      </c>
      <c r="D31" s="2" t="s">
        <v>3</v>
      </c>
      <c r="E31" s="2" t="s">
        <v>197</v>
      </c>
      <c r="F31" s="2" t="s">
        <v>236</v>
      </c>
      <c r="G31" s="2" t="s">
        <v>148</v>
      </c>
      <c r="H31" s="5">
        <v>42</v>
      </c>
      <c r="I31" s="2" t="s">
        <v>237</v>
      </c>
      <c r="J31" s="2" t="s">
        <v>238</v>
      </c>
      <c r="K31" s="2" t="s">
        <v>24</v>
      </c>
    </row>
    <row r="32" spans="1:15" ht="15.75" x14ac:dyDescent="0.25">
      <c r="A32" s="2" t="s">
        <v>187</v>
      </c>
      <c r="B32" s="5">
        <v>2003</v>
      </c>
      <c r="C32" s="2" t="s">
        <v>188</v>
      </c>
      <c r="D32" s="2" t="s">
        <v>3</v>
      </c>
      <c r="E32" s="2" t="s">
        <v>197</v>
      </c>
      <c r="F32" s="2"/>
      <c r="G32" s="2" t="s">
        <v>148</v>
      </c>
      <c r="H32" s="5">
        <v>108</v>
      </c>
      <c r="I32" s="2" t="s">
        <v>239</v>
      </c>
      <c r="J32" s="2" t="s">
        <v>240</v>
      </c>
      <c r="K32" s="2" t="s">
        <v>24</v>
      </c>
    </row>
    <row r="33" spans="1:11" ht="15.75" x14ac:dyDescent="0.25">
      <c r="A33" s="2" t="s">
        <v>187</v>
      </c>
      <c r="B33" s="5">
        <v>2003</v>
      </c>
      <c r="C33" s="2" t="s">
        <v>188</v>
      </c>
      <c r="D33" s="2" t="s">
        <v>3</v>
      </c>
      <c r="E33" s="2" t="s">
        <v>241</v>
      </c>
      <c r="F33" s="2"/>
      <c r="G33" s="2" t="s">
        <v>148</v>
      </c>
      <c r="H33" s="5">
        <v>98</v>
      </c>
      <c r="I33" s="2" t="s">
        <v>242</v>
      </c>
      <c r="J33" s="2" t="s">
        <v>243</v>
      </c>
      <c r="K33" s="2" t="s">
        <v>24</v>
      </c>
    </row>
    <row r="34" spans="1:11" ht="15.75" x14ac:dyDescent="0.25">
      <c r="A34" s="2" t="s">
        <v>155</v>
      </c>
      <c r="B34" s="5">
        <v>2003</v>
      </c>
      <c r="C34" s="2" t="s">
        <v>156</v>
      </c>
      <c r="D34" s="2" t="s">
        <v>3</v>
      </c>
      <c r="E34" s="2" t="s">
        <v>197</v>
      </c>
      <c r="F34" s="2" t="s">
        <v>244</v>
      </c>
      <c r="G34" s="2" t="s">
        <v>157</v>
      </c>
      <c r="H34" s="5">
        <v>137</v>
      </c>
      <c r="I34" s="2" t="s">
        <v>245</v>
      </c>
      <c r="J34" s="2" t="s">
        <v>246</v>
      </c>
      <c r="K34" s="2" t="s">
        <v>247</v>
      </c>
    </row>
    <row r="35" spans="1:11" ht="15.75" x14ac:dyDescent="0.25">
      <c r="A35" s="2" t="s">
        <v>155</v>
      </c>
      <c r="B35" s="5">
        <v>2003</v>
      </c>
      <c r="C35" s="2" t="s">
        <v>156</v>
      </c>
      <c r="D35" s="2" t="s">
        <v>3</v>
      </c>
      <c r="E35" s="2" t="s">
        <v>197</v>
      </c>
      <c r="F35" s="2" t="s">
        <v>248</v>
      </c>
      <c r="G35" s="2" t="s">
        <v>157</v>
      </c>
      <c r="H35" s="5">
        <v>109</v>
      </c>
      <c r="I35" s="2" t="s">
        <v>193</v>
      </c>
      <c r="J35" s="2" t="s">
        <v>194</v>
      </c>
    </row>
    <row r="36" spans="1:11" ht="15.75" x14ac:dyDescent="0.25">
      <c r="A36" s="2" t="s">
        <v>155</v>
      </c>
      <c r="B36" s="5">
        <v>2003</v>
      </c>
      <c r="C36" s="2" t="s">
        <v>156</v>
      </c>
      <c r="D36" s="2" t="s">
        <v>3</v>
      </c>
      <c r="E36" s="2" t="s">
        <v>227</v>
      </c>
      <c r="F36" s="2" t="s">
        <v>249</v>
      </c>
      <c r="G36" s="2" t="s">
        <v>157</v>
      </c>
      <c r="H36" s="5">
        <v>113</v>
      </c>
      <c r="I36" s="2" t="s">
        <v>250</v>
      </c>
      <c r="J36" s="2" t="s">
        <v>251</v>
      </c>
      <c r="K36" s="2" t="s">
        <v>247</v>
      </c>
    </row>
    <row r="37" spans="1:11" ht="15.75" x14ac:dyDescent="0.25">
      <c r="A37" s="2" t="s">
        <v>252</v>
      </c>
      <c r="B37" s="5">
        <v>2003</v>
      </c>
      <c r="C37" s="2" t="s">
        <v>253</v>
      </c>
      <c r="D37" s="2" t="s">
        <v>3</v>
      </c>
      <c r="E37" s="2" t="s">
        <v>227</v>
      </c>
      <c r="F37" s="2"/>
      <c r="G37" s="2" t="s">
        <v>142</v>
      </c>
      <c r="H37" s="5">
        <v>187</v>
      </c>
      <c r="I37" s="2" t="s">
        <v>254</v>
      </c>
      <c r="J37" s="2" t="s">
        <v>255</v>
      </c>
    </row>
    <row r="38" spans="1:11" ht="15.75" x14ac:dyDescent="0.25">
      <c r="A38" s="2" t="s">
        <v>256</v>
      </c>
      <c r="B38" s="5">
        <v>2004</v>
      </c>
      <c r="C38" s="2" t="s">
        <v>257</v>
      </c>
      <c r="D38" s="2" t="s">
        <v>3</v>
      </c>
      <c r="E38" s="2" t="s">
        <v>227</v>
      </c>
      <c r="F38" s="2"/>
      <c r="G38" s="2" t="s">
        <v>258</v>
      </c>
      <c r="H38" s="5">
        <v>114</v>
      </c>
      <c r="I38" s="2" t="s">
        <v>259</v>
      </c>
      <c r="J38" s="2" t="s">
        <v>260</v>
      </c>
    </row>
    <row r="39" spans="1:11" ht="15.75" x14ac:dyDescent="0.25">
      <c r="A39" s="2" t="s">
        <v>261</v>
      </c>
      <c r="B39" s="5">
        <v>2004</v>
      </c>
      <c r="C39" s="2" t="s">
        <v>262</v>
      </c>
      <c r="D39" s="2" t="s">
        <v>3</v>
      </c>
      <c r="E39" s="2" t="s">
        <v>227</v>
      </c>
      <c r="F39" s="2"/>
      <c r="G39" s="2" t="s">
        <v>174</v>
      </c>
      <c r="H39" s="5">
        <v>30</v>
      </c>
      <c r="I39" s="2" t="s">
        <v>263</v>
      </c>
      <c r="J39" s="2" t="s">
        <v>264</v>
      </c>
    </row>
    <row r="40" spans="1:11" ht="15.75" x14ac:dyDescent="0.25">
      <c r="A40" s="2" t="s">
        <v>265</v>
      </c>
      <c r="B40" s="5">
        <v>2005</v>
      </c>
      <c r="C40" s="2" t="s">
        <v>266</v>
      </c>
      <c r="D40" s="2" t="s">
        <v>3</v>
      </c>
      <c r="E40" s="2" t="s">
        <v>197</v>
      </c>
      <c r="F40" s="2"/>
      <c r="G40" s="2" t="s">
        <v>142</v>
      </c>
      <c r="H40" s="5">
        <v>302</v>
      </c>
      <c r="I40" s="2" t="s">
        <v>267</v>
      </c>
      <c r="J40" s="2" t="s">
        <v>268</v>
      </c>
    </row>
    <row r="41" spans="1:11" ht="15.75" x14ac:dyDescent="0.25">
      <c r="A41" s="2" t="s">
        <v>269</v>
      </c>
      <c r="B41" s="5">
        <v>2005</v>
      </c>
      <c r="C41" s="2" t="s">
        <v>270</v>
      </c>
      <c r="D41" s="2" t="s">
        <v>3</v>
      </c>
      <c r="E41" s="2" t="s">
        <v>197</v>
      </c>
      <c r="F41" s="2" t="s">
        <v>271</v>
      </c>
      <c r="G41" s="2" t="s">
        <v>142</v>
      </c>
      <c r="H41" s="5">
        <v>451</v>
      </c>
      <c r="I41" s="2" t="s">
        <v>272</v>
      </c>
      <c r="J41" s="2" t="s">
        <v>273</v>
      </c>
    </row>
    <row r="42" spans="1:11" ht="15.75" x14ac:dyDescent="0.25">
      <c r="A42" s="2" t="s">
        <v>274</v>
      </c>
      <c r="B42" s="5">
        <v>2005</v>
      </c>
      <c r="C42" s="2" t="s">
        <v>275</v>
      </c>
      <c r="D42" s="2" t="s">
        <v>3</v>
      </c>
      <c r="E42" s="2" t="s">
        <v>227</v>
      </c>
      <c r="F42" s="2"/>
      <c r="G42" s="2" t="s">
        <v>174</v>
      </c>
      <c r="H42" s="5">
        <v>39</v>
      </c>
      <c r="I42" s="2" t="s">
        <v>164</v>
      </c>
      <c r="J42" s="2" t="s">
        <v>276</v>
      </c>
    </row>
    <row r="43" spans="1:11" ht="15.75" x14ac:dyDescent="0.25">
      <c r="A43" s="2" t="s">
        <v>277</v>
      </c>
      <c r="B43" s="5">
        <v>2005</v>
      </c>
      <c r="C43" s="2" t="s">
        <v>278</v>
      </c>
      <c r="D43" s="2" t="s">
        <v>3</v>
      </c>
      <c r="E43" s="2" t="s">
        <v>197</v>
      </c>
      <c r="F43" s="2"/>
      <c r="G43" s="2" t="s">
        <v>174</v>
      </c>
      <c r="H43" s="5">
        <v>118</v>
      </c>
      <c r="I43" s="2" t="s">
        <v>279</v>
      </c>
      <c r="J43" s="2" t="s">
        <v>280</v>
      </c>
    </row>
    <row r="44" spans="1:11" ht="15.75" x14ac:dyDescent="0.25">
      <c r="A44" s="2" t="s">
        <v>281</v>
      </c>
      <c r="B44" s="5">
        <v>2005</v>
      </c>
      <c r="C44" s="2" t="s">
        <v>282</v>
      </c>
      <c r="D44" s="2" t="s">
        <v>3</v>
      </c>
      <c r="E44" s="2" t="s">
        <v>197</v>
      </c>
      <c r="F44" s="2"/>
      <c r="G44" s="2" t="s">
        <v>174</v>
      </c>
      <c r="H44" s="5">
        <v>30</v>
      </c>
      <c r="I44" s="2" t="s">
        <v>283</v>
      </c>
      <c r="J44" s="2" t="s">
        <v>284</v>
      </c>
    </row>
    <row r="45" spans="1:11" ht="15.75" x14ac:dyDescent="0.25">
      <c r="A45" s="2" t="s">
        <v>285</v>
      </c>
      <c r="B45" s="5">
        <v>2006</v>
      </c>
      <c r="C45" s="2" t="s">
        <v>286</v>
      </c>
      <c r="D45" s="2" t="s">
        <v>3</v>
      </c>
      <c r="E45" s="2" t="s">
        <v>197</v>
      </c>
      <c r="F45" s="2"/>
      <c r="G45" s="2" t="s">
        <v>174</v>
      </c>
      <c r="H45" s="5">
        <v>103</v>
      </c>
      <c r="I45" s="2" t="s">
        <v>150</v>
      </c>
      <c r="J45" s="2" t="s">
        <v>149</v>
      </c>
    </row>
    <row r="46" spans="1:11" ht="15.75" x14ac:dyDescent="0.25">
      <c r="A46" s="2" t="s">
        <v>287</v>
      </c>
      <c r="B46" s="5">
        <v>2006</v>
      </c>
      <c r="C46" s="2" t="s">
        <v>288</v>
      </c>
      <c r="D46" s="2" t="s">
        <v>3</v>
      </c>
      <c r="E46" s="2" t="s">
        <v>289</v>
      </c>
      <c r="F46" s="2"/>
      <c r="G46" s="2" t="s">
        <v>148</v>
      </c>
      <c r="H46" s="5">
        <v>40</v>
      </c>
      <c r="I46" s="2" t="s">
        <v>290</v>
      </c>
      <c r="J46" s="2" t="s">
        <v>291</v>
      </c>
    </row>
    <row r="47" spans="1:11" ht="15.75" x14ac:dyDescent="0.25">
      <c r="A47" s="2" t="s">
        <v>292</v>
      </c>
      <c r="B47" s="5">
        <v>2006</v>
      </c>
      <c r="C47" s="2" t="s">
        <v>293</v>
      </c>
      <c r="D47" s="2" t="s">
        <v>3</v>
      </c>
      <c r="E47" s="2" t="s">
        <v>197</v>
      </c>
      <c r="F47" s="2" t="s">
        <v>294</v>
      </c>
      <c r="G47" s="2" t="s">
        <v>142</v>
      </c>
      <c r="H47" s="5">
        <v>180</v>
      </c>
      <c r="I47" s="2" t="s">
        <v>295</v>
      </c>
      <c r="J47" s="2" t="s">
        <v>296</v>
      </c>
    </row>
    <row r="48" spans="1:11" ht="15.75" x14ac:dyDescent="0.25">
      <c r="A48" s="2" t="s">
        <v>297</v>
      </c>
      <c r="B48" s="5">
        <v>2006</v>
      </c>
      <c r="C48" s="2" t="s">
        <v>298</v>
      </c>
      <c r="D48" s="2" t="s">
        <v>3</v>
      </c>
      <c r="E48" s="2" t="s">
        <v>227</v>
      </c>
      <c r="F48" s="2"/>
      <c r="G48" s="2" t="s">
        <v>258</v>
      </c>
      <c r="H48" s="5">
        <v>201</v>
      </c>
      <c r="I48" s="2" t="s">
        <v>283</v>
      </c>
      <c r="J48" s="2" t="s">
        <v>284</v>
      </c>
    </row>
    <row r="49" spans="1:12" ht="15.75" x14ac:dyDescent="0.25">
      <c r="A49" s="2" t="s">
        <v>299</v>
      </c>
      <c r="B49" s="5">
        <v>2006</v>
      </c>
      <c r="C49" s="2" t="s">
        <v>300</v>
      </c>
      <c r="D49" s="2" t="s">
        <v>3</v>
      </c>
      <c r="E49" s="2" t="s">
        <v>197</v>
      </c>
      <c r="F49" s="2"/>
      <c r="G49" s="2" t="s">
        <v>258</v>
      </c>
      <c r="H49" s="5">
        <v>50</v>
      </c>
      <c r="I49" s="2" t="s">
        <v>301</v>
      </c>
      <c r="J49" s="2" t="s">
        <v>302</v>
      </c>
    </row>
    <row r="50" spans="1:12" ht="15.75" x14ac:dyDescent="0.25">
      <c r="A50" s="2" t="s">
        <v>303</v>
      </c>
      <c r="B50" s="5">
        <v>2006</v>
      </c>
      <c r="C50" s="2" t="s">
        <v>304</v>
      </c>
      <c r="D50" s="2" t="s">
        <v>3</v>
      </c>
      <c r="E50" s="2" t="s">
        <v>197</v>
      </c>
      <c r="F50" s="2"/>
      <c r="G50" s="2" t="s">
        <v>258</v>
      </c>
      <c r="H50" s="5">
        <v>53</v>
      </c>
      <c r="I50" s="2" t="s">
        <v>305</v>
      </c>
      <c r="J50" s="2" t="s">
        <v>306</v>
      </c>
    </row>
    <row r="51" spans="1:12" ht="15.75" x14ac:dyDescent="0.25">
      <c r="A51" s="2" t="s">
        <v>307</v>
      </c>
      <c r="B51" s="5">
        <v>2007</v>
      </c>
      <c r="C51" s="2" t="s">
        <v>308</v>
      </c>
      <c r="D51" s="2" t="s">
        <v>3</v>
      </c>
      <c r="E51" s="2" t="s">
        <v>289</v>
      </c>
      <c r="F51" s="2"/>
      <c r="G51" s="2" t="s">
        <v>148</v>
      </c>
      <c r="H51" s="5">
        <v>29</v>
      </c>
      <c r="I51" s="2" t="s">
        <v>309</v>
      </c>
      <c r="J51" s="2" t="s">
        <v>310</v>
      </c>
    </row>
    <row r="52" spans="1:12" ht="15.75" x14ac:dyDescent="0.25">
      <c r="A52" s="2" t="s">
        <v>195</v>
      </c>
      <c r="B52" s="5">
        <v>2007</v>
      </c>
      <c r="C52" s="2" t="s">
        <v>311</v>
      </c>
      <c r="D52" s="2" t="s">
        <v>3</v>
      </c>
      <c r="E52" s="2" t="s">
        <v>197</v>
      </c>
      <c r="F52" s="2"/>
      <c r="G52" s="2" t="s">
        <v>258</v>
      </c>
      <c r="H52" s="5">
        <v>73</v>
      </c>
      <c r="I52" s="2" t="s">
        <v>312</v>
      </c>
      <c r="J52" s="2" t="s">
        <v>313</v>
      </c>
    </row>
    <row r="53" spans="1:12" ht="15.75" x14ac:dyDescent="0.25">
      <c r="A53" s="2" t="s">
        <v>195</v>
      </c>
      <c r="B53" s="5">
        <v>2007</v>
      </c>
      <c r="C53" s="2" t="s">
        <v>196</v>
      </c>
      <c r="D53" s="2" t="s">
        <v>3</v>
      </c>
      <c r="E53" s="2" t="s">
        <v>197</v>
      </c>
      <c r="F53" s="2" t="s">
        <v>271</v>
      </c>
      <c r="G53" s="2" t="s">
        <v>148</v>
      </c>
      <c r="H53" s="5">
        <v>165</v>
      </c>
      <c r="I53" s="2" t="s">
        <v>314</v>
      </c>
      <c r="J53" s="2" t="s">
        <v>315</v>
      </c>
    </row>
    <row r="54" spans="1:12" ht="15.75" x14ac:dyDescent="0.25">
      <c r="A54" s="2" t="s">
        <v>195</v>
      </c>
      <c r="B54" s="5">
        <v>2007</v>
      </c>
      <c r="C54" s="2" t="s">
        <v>196</v>
      </c>
      <c r="D54" s="2" t="s">
        <v>3</v>
      </c>
      <c r="E54" s="2" t="s">
        <v>197</v>
      </c>
      <c r="F54" s="2" t="s">
        <v>316</v>
      </c>
      <c r="G54" s="2" t="s">
        <v>148</v>
      </c>
      <c r="H54" s="5">
        <v>161</v>
      </c>
      <c r="I54" s="2" t="s">
        <v>317</v>
      </c>
      <c r="J54" s="2" t="s">
        <v>318</v>
      </c>
    </row>
    <row r="55" spans="1:12" ht="15.75" x14ac:dyDescent="0.25">
      <c r="A55" s="2" t="s">
        <v>319</v>
      </c>
      <c r="B55" s="5">
        <v>2007</v>
      </c>
      <c r="C55" s="2" t="s">
        <v>320</v>
      </c>
      <c r="D55" s="2" t="s">
        <v>3</v>
      </c>
      <c r="E55" s="2" t="s">
        <v>197</v>
      </c>
      <c r="F55" s="2"/>
      <c r="G55" s="2" t="s">
        <v>258</v>
      </c>
      <c r="H55" s="5">
        <v>70</v>
      </c>
      <c r="I55" s="2" t="s">
        <v>321</v>
      </c>
      <c r="J55" s="2" t="s">
        <v>322</v>
      </c>
    </row>
    <row r="56" spans="1:12" ht="15.75" x14ac:dyDescent="0.25">
      <c r="A56" s="2" t="s">
        <v>323</v>
      </c>
      <c r="B56" s="5">
        <v>2008</v>
      </c>
      <c r="C56" s="2" t="s">
        <v>324</v>
      </c>
      <c r="D56" s="2" t="s">
        <v>3</v>
      </c>
      <c r="E56" s="2" t="s">
        <v>227</v>
      </c>
      <c r="F56" s="2"/>
      <c r="G56" s="2" t="s">
        <v>258</v>
      </c>
      <c r="H56" s="5">
        <v>60</v>
      </c>
      <c r="I56" s="2" t="s">
        <v>283</v>
      </c>
      <c r="J56" s="2" t="s">
        <v>284</v>
      </c>
    </row>
    <row r="57" spans="1:12" ht="15.75" x14ac:dyDescent="0.25">
      <c r="A57" s="2" t="s">
        <v>325</v>
      </c>
      <c r="B57" s="5">
        <v>2008</v>
      </c>
      <c r="C57" s="2" t="s">
        <v>326</v>
      </c>
      <c r="D57" s="2" t="s">
        <v>3</v>
      </c>
      <c r="E57" s="2" t="s">
        <v>327</v>
      </c>
      <c r="F57" s="2" t="s">
        <v>328</v>
      </c>
      <c r="G57" s="2" t="s">
        <v>148</v>
      </c>
      <c r="H57" s="5">
        <v>85</v>
      </c>
      <c r="I57" s="2" t="s">
        <v>329</v>
      </c>
      <c r="J57" s="2" t="s">
        <v>330</v>
      </c>
      <c r="K57" s="2" t="s">
        <v>24</v>
      </c>
    </row>
    <row r="58" spans="1:12" ht="15.75" x14ac:dyDescent="0.25">
      <c r="A58" s="2" t="s">
        <v>325</v>
      </c>
      <c r="B58" s="5">
        <v>2008</v>
      </c>
      <c r="C58" s="2" t="s">
        <v>326</v>
      </c>
      <c r="D58" s="2" t="s">
        <v>3</v>
      </c>
      <c r="E58" s="2" t="s">
        <v>327</v>
      </c>
      <c r="F58" s="2" t="s">
        <v>331</v>
      </c>
      <c r="G58" s="2" t="s">
        <v>148</v>
      </c>
      <c r="H58" s="5">
        <v>87</v>
      </c>
      <c r="I58" s="2" t="s">
        <v>332</v>
      </c>
      <c r="J58" s="2" t="s">
        <v>333</v>
      </c>
      <c r="K58" s="2" t="s">
        <v>24</v>
      </c>
    </row>
    <row r="59" spans="1:12" ht="15.75" x14ac:dyDescent="0.25">
      <c r="A59" s="2" t="s">
        <v>325</v>
      </c>
      <c r="B59" s="5">
        <v>2008</v>
      </c>
      <c r="C59" s="2" t="s">
        <v>326</v>
      </c>
      <c r="D59" s="2" t="s">
        <v>3</v>
      </c>
      <c r="E59" s="2" t="s">
        <v>327</v>
      </c>
      <c r="F59" s="2" t="s">
        <v>334</v>
      </c>
      <c r="G59" s="2" t="s">
        <v>148</v>
      </c>
      <c r="H59" s="5">
        <v>87</v>
      </c>
      <c r="I59" s="2" t="s">
        <v>335</v>
      </c>
      <c r="J59" s="2" t="s">
        <v>336</v>
      </c>
      <c r="K59" s="2" t="s">
        <v>24</v>
      </c>
    </row>
    <row r="60" spans="1:12" ht="15.75" x14ac:dyDescent="0.25">
      <c r="A60" s="2" t="s">
        <v>325</v>
      </c>
      <c r="B60" s="5">
        <v>2008</v>
      </c>
      <c r="C60" s="2" t="s">
        <v>326</v>
      </c>
      <c r="D60" s="2" t="s">
        <v>3</v>
      </c>
      <c r="E60" s="2" t="s">
        <v>327</v>
      </c>
      <c r="F60" s="2" t="s">
        <v>337</v>
      </c>
      <c r="G60" s="2" t="s">
        <v>148</v>
      </c>
      <c r="H60" s="5">
        <v>88</v>
      </c>
      <c r="I60" s="2" t="s">
        <v>338</v>
      </c>
      <c r="J60" s="2" t="s">
        <v>339</v>
      </c>
      <c r="K60" s="2" t="s">
        <v>24</v>
      </c>
    </row>
    <row r="61" spans="1:12" ht="15.75" x14ac:dyDescent="0.25">
      <c r="A61" s="2" t="s">
        <v>340</v>
      </c>
      <c r="B61" s="5">
        <v>2008</v>
      </c>
      <c r="C61" s="2" t="s">
        <v>341</v>
      </c>
      <c r="D61" s="2" t="s">
        <v>3</v>
      </c>
      <c r="E61" s="2" t="s">
        <v>289</v>
      </c>
      <c r="F61" s="2"/>
      <c r="G61" s="2" t="s">
        <v>148</v>
      </c>
      <c r="H61" s="5">
        <v>194</v>
      </c>
      <c r="I61" s="2" t="s">
        <v>342</v>
      </c>
      <c r="J61" s="2" t="s">
        <v>343</v>
      </c>
      <c r="K61" s="2" t="s">
        <v>24</v>
      </c>
      <c r="L61" s="2" t="s">
        <v>24</v>
      </c>
    </row>
    <row r="62" spans="1:12" ht="15.75" x14ac:dyDescent="0.25">
      <c r="A62" s="2" t="s">
        <v>344</v>
      </c>
      <c r="B62" s="5">
        <v>2008</v>
      </c>
      <c r="C62" s="2" t="s">
        <v>345</v>
      </c>
      <c r="D62" s="2" t="s">
        <v>3</v>
      </c>
      <c r="E62" s="2" t="s">
        <v>227</v>
      </c>
      <c r="F62" s="2"/>
      <c r="G62" s="2" t="s">
        <v>174</v>
      </c>
      <c r="H62" s="5">
        <v>50</v>
      </c>
      <c r="I62" s="2" t="s">
        <v>245</v>
      </c>
      <c r="J62" s="2" t="s">
        <v>346</v>
      </c>
    </row>
    <row r="63" spans="1:12" ht="15.75" x14ac:dyDescent="0.25">
      <c r="A63" s="2" t="s">
        <v>347</v>
      </c>
      <c r="B63" s="5">
        <v>2009</v>
      </c>
      <c r="C63" s="2" t="s">
        <v>348</v>
      </c>
      <c r="D63" s="2" t="s">
        <v>3</v>
      </c>
      <c r="E63" s="2" t="s">
        <v>289</v>
      </c>
      <c r="F63" s="2"/>
      <c r="G63" s="2" t="s">
        <v>349</v>
      </c>
      <c r="H63" s="5">
        <v>314</v>
      </c>
      <c r="I63" s="2" t="s">
        <v>228</v>
      </c>
      <c r="J63" s="2" t="s">
        <v>229</v>
      </c>
    </row>
    <row r="64" spans="1:12" ht="15.75" x14ac:dyDescent="0.25">
      <c r="A64" s="2" t="s">
        <v>350</v>
      </c>
      <c r="B64" s="5">
        <v>2009</v>
      </c>
      <c r="C64" s="2" t="s">
        <v>351</v>
      </c>
      <c r="D64" s="2" t="s">
        <v>3</v>
      </c>
      <c r="E64" s="2" t="s">
        <v>289</v>
      </c>
      <c r="F64" s="2"/>
      <c r="G64" s="2" t="s">
        <v>148</v>
      </c>
      <c r="H64" s="5">
        <v>46</v>
      </c>
      <c r="I64" s="2" t="s">
        <v>352</v>
      </c>
      <c r="J64" s="2" t="s">
        <v>353</v>
      </c>
    </row>
    <row r="65" spans="1:12" ht="15.75" x14ac:dyDescent="0.25">
      <c r="A65" s="2" t="s">
        <v>344</v>
      </c>
      <c r="B65" s="5">
        <v>2009</v>
      </c>
      <c r="C65" s="2" t="s">
        <v>354</v>
      </c>
      <c r="D65" s="2" t="s">
        <v>3</v>
      </c>
      <c r="E65" s="2" t="s">
        <v>227</v>
      </c>
      <c r="F65" s="2"/>
      <c r="G65" s="2" t="s">
        <v>174</v>
      </c>
      <c r="H65" s="5">
        <v>59</v>
      </c>
      <c r="I65" s="2" t="s">
        <v>239</v>
      </c>
      <c r="J65" s="2" t="s">
        <v>240</v>
      </c>
    </row>
    <row r="66" spans="1:12" ht="15.75" x14ac:dyDescent="0.25">
      <c r="A66" s="2" t="s">
        <v>355</v>
      </c>
      <c r="B66" s="5">
        <v>2010</v>
      </c>
      <c r="C66" s="2" t="s">
        <v>356</v>
      </c>
      <c r="D66" s="2" t="s">
        <v>3</v>
      </c>
      <c r="E66" s="2" t="s">
        <v>289</v>
      </c>
      <c r="F66" s="2"/>
      <c r="G66" s="2" t="s">
        <v>174</v>
      </c>
      <c r="H66" s="5">
        <v>62</v>
      </c>
      <c r="I66" s="2" t="s">
        <v>309</v>
      </c>
      <c r="J66" s="2" t="s">
        <v>310</v>
      </c>
    </row>
    <row r="67" spans="1:12" ht="15.75" x14ac:dyDescent="0.25">
      <c r="A67" s="2" t="s">
        <v>357</v>
      </c>
      <c r="B67" s="5">
        <v>2010</v>
      </c>
      <c r="C67" s="2" t="s">
        <v>358</v>
      </c>
      <c r="D67" s="2" t="s">
        <v>3</v>
      </c>
      <c r="E67" s="2" t="s">
        <v>197</v>
      </c>
      <c r="F67" s="2"/>
      <c r="G67" s="2" t="s">
        <v>174</v>
      </c>
      <c r="H67" s="5">
        <v>63</v>
      </c>
      <c r="I67" s="2" t="s">
        <v>164</v>
      </c>
      <c r="J67" s="2" t="s">
        <v>276</v>
      </c>
    </row>
    <row r="68" spans="1:12" ht="15.75" x14ac:dyDescent="0.25">
      <c r="A68" s="2" t="s">
        <v>359</v>
      </c>
      <c r="B68" s="5">
        <v>2010</v>
      </c>
      <c r="C68" s="2" t="s">
        <v>360</v>
      </c>
      <c r="D68" s="2" t="s">
        <v>3</v>
      </c>
      <c r="E68" s="2" t="s">
        <v>227</v>
      </c>
      <c r="F68" s="2"/>
      <c r="G68" s="2" t="s">
        <v>361</v>
      </c>
      <c r="H68" s="5">
        <v>33</v>
      </c>
      <c r="I68" s="2" t="s">
        <v>362</v>
      </c>
      <c r="J68" s="2" t="s">
        <v>363</v>
      </c>
    </row>
    <row r="69" spans="1:12" ht="15.75" x14ac:dyDescent="0.25">
      <c r="A69" s="2" t="s">
        <v>364</v>
      </c>
      <c r="B69" s="5">
        <v>2010</v>
      </c>
      <c r="C69" s="2" t="s">
        <v>365</v>
      </c>
      <c r="D69" s="2" t="s">
        <v>3</v>
      </c>
      <c r="E69" s="2" t="s">
        <v>289</v>
      </c>
      <c r="F69" s="2"/>
      <c r="G69" s="2" t="s">
        <v>148</v>
      </c>
      <c r="H69" s="5">
        <v>29</v>
      </c>
      <c r="I69" s="2" t="s">
        <v>309</v>
      </c>
      <c r="J69" s="2" t="s">
        <v>310</v>
      </c>
    </row>
    <row r="70" spans="1:12" ht="15.75" x14ac:dyDescent="0.25">
      <c r="A70" s="2" t="s">
        <v>366</v>
      </c>
      <c r="B70" s="5">
        <v>2010</v>
      </c>
      <c r="C70" s="2" t="s">
        <v>367</v>
      </c>
      <c r="D70" s="2" t="s">
        <v>3</v>
      </c>
      <c r="E70" s="2" t="s">
        <v>289</v>
      </c>
      <c r="F70" s="2"/>
      <c r="G70" s="2" t="s">
        <v>148</v>
      </c>
      <c r="H70" s="5">
        <v>104</v>
      </c>
      <c r="I70" s="2" t="s">
        <v>232</v>
      </c>
      <c r="J70" s="2" t="s">
        <v>233</v>
      </c>
    </row>
    <row r="71" spans="1:12" ht="15.75" x14ac:dyDescent="0.25">
      <c r="A71" s="2" t="s">
        <v>368</v>
      </c>
      <c r="B71" s="5">
        <v>2010</v>
      </c>
      <c r="C71" s="2" t="s">
        <v>369</v>
      </c>
      <c r="D71" s="2" t="s">
        <v>3</v>
      </c>
      <c r="E71" s="2" t="s">
        <v>197</v>
      </c>
      <c r="F71" s="2"/>
      <c r="G71" s="2" t="s">
        <v>174</v>
      </c>
      <c r="H71" s="5">
        <v>28</v>
      </c>
      <c r="I71" s="2" t="s">
        <v>370</v>
      </c>
      <c r="J71" s="2" t="s">
        <v>371</v>
      </c>
    </row>
    <row r="72" spans="1:12" ht="15.75" x14ac:dyDescent="0.25">
      <c r="A72" s="2" t="s">
        <v>372</v>
      </c>
      <c r="B72" s="5">
        <v>2011</v>
      </c>
      <c r="C72" s="2" t="s">
        <v>373</v>
      </c>
      <c r="D72" s="2" t="s">
        <v>3</v>
      </c>
      <c r="E72" s="2" t="s">
        <v>197</v>
      </c>
      <c r="F72" s="2"/>
      <c r="G72" s="2" t="s">
        <v>174</v>
      </c>
      <c r="H72" s="5">
        <v>142</v>
      </c>
      <c r="I72" s="2" t="s">
        <v>309</v>
      </c>
      <c r="J72" s="2" t="s">
        <v>310</v>
      </c>
    </row>
    <row r="73" spans="1:12" ht="15.75" x14ac:dyDescent="0.25">
      <c r="A73" s="2" t="s">
        <v>374</v>
      </c>
      <c r="B73" s="5">
        <v>2011</v>
      </c>
      <c r="C73" s="2" t="s">
        <v>375</v>
      </c>
      <c r="D73" s="2" t="s">
        <v>3</v>
      </c>
      <c r="E73" s="2" t="s">
        <v>227</v>
      </c>
      <c r="F73" s="2"/>
      <c r="G73" s="2" t="s">
        <v>174</v>
      </c>
      <c r="H73" s="5">
        <v>136</v>
      </c>
      <c r="I73" s="2" t="s">
        <v>376</v>
      </c>
      <c r="J73" s="2" t="s">
        <v>377</v>
      </c>
    </row>
    <row r="74" spans="1:12" ht="15.75" x14ac:dyDescent="0.25">
      <c r="A74" s="2" t="s">
        <v>378</v>
      </c>
      <c r="B74" s="5">
        <v>2011</v>
      </c>
      <c r="C74" s="2" t="s">
        <v>379</v>
      </c>
      <c r="D74" s="2" t="s">
        <v>3</v>
      </c>
      <c r="E74" s="2" t="s">
        <v>227</v>
      </c>
      <c r="F74" s="2"/>
      <c r="G74" s="2" t="s">
        <v>258</v>
      </c>
      <c r="H74" s="5">
        <v>51</v>
      </c>
      <c r="I74" s="2" t="s">
        <v>380</v>
      </c>
      <c r="J74" s="2" t="s">
        <v>381</v>
      </c>
    </row>
    <row r="75" spans="1:12" ht="15.75" x14ac:dyDescent="0.25">
      <c r="A75" s="2" t="s">
        <v>382</v>
      </c>
      <c r="B75" s="5">
        <v>2011</v>
      </c>
      <c r="C75" s="2" t="s">
        <v>383</v>
      </c>
      <c r="D75" s="2" t="s">
        <v>3</v>
      </c>
      <c r="E75" s="2" t="s">
        <v>197</v>
      </c>
      <c r="F75" s="2"/>
      <c r="G75" s="2" t="s">
        <v>148</v>
      </c>
      <c r="H75" s="5">
        <v>22</v>
      </c>
      <c r="I75" s="2" t="s">
        <v>384</v>
      </c>
      <c r="J75" s="2" t="s">
        <v>385</v>
      </c>
    </row>
    <row r="76" spans="1:12" ht="15.75" x14ac:dyDescent="0.25">
      <c r="A76" s="2" t="s">
        <v>386</v>
      </c>
      <c r="B76" s="5">
        <v>2011</v>
      </c>
      <c r="C76" s="2" t="s">
        <v>387</v>
      </c>
      <c r="D76" s="2" t="s">
        <v>3</v>
      </c>
      <c r="E76" s="2" t="s">
        <v>197</v>
      </c>
      <c r="F76" s="2"/>
      <c r="G76" s="2" t="s">
        <v>174</v>
      </c>
      <c r="H76" s="5">
        <v>63</v>
      </c>
      <c r="I76" s="2" t="s">
        <v>279</v>
      </c>
      <c r="J76" s="2" t="s">
        <v>280</v>
      </c>
    </row>
    <row r="77" spans="1:12" ht="15.75" x14ac:dyDescent="0.25">
      <c r="A77" s="2" t="s">
        <v>388</v>
      </c>
      <c r="B77" s="5">
        <v>2011</v>
      </c>
      <c r="C77" s="2" t="s">
        <v>389</v>
      </c>
      <c r="D77" s="2" t="s">
        <v>3</v>
      </c>
      <c r="E77" s="2" t="s">
        <v>197</v>
      </c>
      <c r="F77" s="2"/>
      <c r="G77" s="2" t="s">
        <v>148</v>
      </c>
      <c r="H77" s="5">
        <v>73</v>
      </c>
      <c r="I77" s="2" t="s">
        <v>390</v>
      </c>
      <c r="J77" s="2" t="s">
        <v>391</v>
      </c>
    </row>
    <row r="78" spans="1:12" ht="15.75" x14ac:dyDescent="0.25">
      <c r="A78" s="2" t="s">
        <v>392</v>
      </c>
      <c r="B78" s="5">
        <v>2011</v>
      </c>
      <c r="C78" s="2" t="s">
        <v>393</v>
      </c>
      <c r="D78" s="2" t="s">
        <v>3</v>
      </c>
      <c r="E78" s="2" t="s">
        <v>197</v>
      </c>
      <c r="F78" s="2"/>
      <c r="G78" s="2" t="s">
        <v>258</v>
      </c>
      <c r="H78" s="5">
        <v>53</v>
      </c>
      <c r="I78" s="2" t="s">
        <v>394</v>
      </c>
      <c r="J78" s="2" t="s">
        <v>395</v>
      </c>
    </row>
    <row r="79" spans="1:12" ht="15.75" x14ac:dyDescent="0.25">
      <c r="A79" s="2" t="s">
        <v>176</v>
      </c>
      <c r="B79" s="5">
        <v>2012</v>
      </c>
      <c r="C79" s="2" t="s">
        <v>177</v>
      </c>
      <c r="D79" s="2" t="s">
        <v>3</v>
      </c>
      <c r="E79" s="2" t="s">
        <v>197</v>
      </c>
      <c r="F79" s="2" t="s">
        <v>244</v>
      </c>
      <c r="G79" s="2" t="s">
        <v>178</v>
      </c>
      <c r="H79" s="5">
        <v>97</v>
      </c>
      <c r="I79" s="2" t="s">
        <v>309</v>
      </c>
      <c r="J79" s="2" t="s">
        <v>310</v>
      </c>
      <c r="K79" s="2" t="s">
        <v>24</v>
      </c>
      <c r="L79" s="2" t="s">
        <v>24</v>
      </c>
    </row>
    <row r="80" spans="1:12" ht="15.75" x14ac:dyDescent="0.25">
      <c r="A80" s="2" t="s">
        <v>176</v>
      </c>
      <c r="B80" s="5">
        <v>2012</v>
      </c>
      <c r="C80" s="2" t="s">
        <v>177</v>
      </c>
      <c r="D80" s="2" t="s">
        <v>3</v>
      </c>
      <c r="E80" s="2" t="s">
        <v>197</v>
      </c>
      <c r="F80" s="2" t="s">
        <v>396</v>
      </c>
      <c r="G80" s="2" t="s">
        <v>178</v>
      </c>
      <c r="H80" s="5">
        <v>100</v>
      </c>
      <c r="I80" s="2" t="s">
        <v>150</v>
      </c>
      <c r="J80" s="2" t="s">
        <v>149</v>
      </c>
      <c r="K80" s="2" t="s">
        <v>24</v>
      </c>
      <c r="L80" s="2" t="s">
        <v>24</v>
      </c>
    </row>
    <row r="81" spans="1:12" ht="15.75" x14ac:dyDescent="0.25">
      <c r="A81" s="2" t="s">
        <v>176</v>
      </c>
      <c r="B81" s="5">
        <v>2012</v>
      </c>
      <c r="C81" s="2" t="s">
        <v>177</v>
      </c>
      <c r="D81" s="2" t="s">
        <v>3</v>
      </c>
      <c r="E81" s="2" t="s">
        <v>227</v>
      </c>
      <c r="F81" s="2" t="s">
        <v>249</v>
      </c>
      <c r="G81" s="2" t="s">
        <v>178</v>
      </c>
      <c r="H81" s="5">
        <v>89</v>
      </c>
      <c r="I81" s="2" t="s">
        <v>232</v>
      </c>
      <c r="J81" s="2" t="s">
        <v>233</v>
      </c>
      <c r="K81" s="2" t="s">
        <v>24</v>
      </c>
      <c r="L81" s="2" t="s">
        <v>24</v>
      </c>
    </row>
    <row r="82" spans="1:12" ht="15.75" x14ac:dyDescent="0.25">
      <c r="A82" s="2" t="s">
        <v>397</v>
      </c>
      <c r="B82" s="5">
        <v>2012</v>
      </c>
      <c r="C82" s="2" t="s">
        <v>398</v>
      </c>
      <c r="D82" s="2" t="s">
        <v>3</v>
      </c>
      <c r="E82" s="2" t="s">
        <v>289</v>
      </c>
      <c r="F82" s="2"/>
      <c r="G82" s="2" t="s">
        <v>174</v>
      </c>
      <c r="H82" s="5">
        <v>70</v>
      </c>
      <c r="I82" s="2" t="s">
        <v>399</v>
      </c>
      <c r="J82" s="2" t="s">
        <v>400</v>
      </c>
    </row>
    <row r="83" spans="1:12" ht="15.75" x14ac:dyDescent="0.25">
      <c r="A83" s="2" t="s">
        <v>401</v>
      </c>
      <c r="B83" s="5">
        <v>2012</v>
      </c>
      <c r="C83" s="2" t="s">
        <v>402</v>
      </c>
      <c r="D83" s="2" t="s">
        <v>3</v>
      </c>
      <c r="E83" s="2" t="s">
        <v>227</v>
      </c>
      <c r="F83" s="2"/>
      <c r="G83" s="2" t="s">
        <v>174</v>
      </c>
      <c r="H83" s="5">
        <v>50</v>
      </c>
      <c r="I83" s="2" t="s">
        <v>283</v>
      </c>
      <c r="J83" s="2" t="s">
        <v>284</v>
      </c>
    </row>
    <row r="84" spans="1:12" ht="15.75" x14ac:dyDescent="0.25">
      <c r="A84" s="2" t="s">
        <v>403</v>
      </c>
      <c r="B84" s="5">
        <v>2012</v>
      </c>
      <c r="C84" s="2" t="s">
        <v>404</v>
      </c>
      <c r="D84" s="2" t="s">
        <v>3</v>
      </c>
      <c r="E84" s="2" t="s">
        <v>289</v>
      </c>
      <c r="F84" s="2"/>
      <c r="G84" s="2" t="s">
        <v>258</v>
      </c>
      <c r="H84" s="5">
        <v>58</v>
      </c>
      <c r="I84" s="2" t="s">
        <v>405</v>
      </c>
      <c r="J84" s="2" t="s">
        <v>406</v>
      </c>
    </row>
    <row r="85" spans="1:12" ht="15.75" x14ac:dyDescent="0.25">
      <c r="A85" s="2" t="s">
        <v>407</v>
      </c>
      <c r="B85" s="5">
        <v>2012</v>
      </c>
      <c r="C85" s="2" t="s">
        <v>408</v>
      </c>
      <c r="D85" s="2" t="s">
        <v>3</v>
      </c>
      <c r="E85" s="2" t="s">
        <v>289</v>
      </c>
      <c r="F85" s="2"/>
      <c r="G85" s="2" t="s">
        <v>174</v>
      </c>
      <c r="H85" s="5">
        <v>132</v>
      </c>
      <c r="I85" s="2" t="s">
        <v>409</v>
      </c>
      <c r="J85" s="2" t="s">
        <v>410</v>
      </c>
    </row>
    <row r="86" spans="1:12" ht="15.75" x14ac:dyDescent="0.25">
      <c r="A86" s="2" t="s">
        <v>407</v>
      </c>
      <c r="B86" s="5">
        <v>2012</v>
      </c>
      <c r="C86" s="2" t="s">
        <v>411</v>
      </c>
      <c r="D86" s="2" t="s">
        <v>3</v>
      </c>
      <c r="E86" s="2" t="s">
        <v>289</v>
      </c>
      <c r="F86" s="2"/>
      <c r="G86" s="2" t="s">
        <v>174</v>
      </c>
      <c r="H86" s="5">
        <v>129</v>
      </c>
      <c r="I86" s="2" t="s">
        <v>263</v>
      </c>
      <c r="J86" s="2" t="s">
        <v>264</v>
      </c>
    </row>
    <row r="87" spans="1:12" ht="15.75" x14ac:dyDescent="0.25">
      <c r="A87" s="2" t="s">
        <v>412</v>
      </c>
      <c r="B87" s="5">
        <v>2012</v>
      </c>
      <c r="C87" s="2" t="s">
        <v>413</v>
      </c>
      <c r="D87" s="2" t="s">
        <v>3</v>
      </c>
      <c r="E87" s="2" t="s">
        <v>227</v>
      </c>
      <c r="F87" s="2"/>
      <c r="G87" s="2" t="s">
        <v>174</v>
      </c>
      <c r="H87" s="5">
        <v>72</v>
      </c>
      <c r="I87" s="2" t="s">
        <v>414</v>
      </c>
      <c r="J87" s="2" t="s">
        <v>415</v>
      </c>
    </row>
    <row r="88" spans="1:12" ht="15.75" x14ac:dyDescent="0.25">
      <c r="A88" s="2" t="s">
        <v>416</v>
      </c>
      <c r="B88" s="5">
        <v>2012</v>
      </c>
      <c r="C88" s="2" t="s">
        <v>417</v>
      </c>
      <c r="D88" s="2" t="s">
        <v>3</v>
      </c>
      <c r="E88" s="2" t="s">
        <v>289</v>
      </c>
      <c r="F88" s="2"/>
      <c r="G88" s="2" t="s">
        <v>174</v>
      </c>
      <c r="H88" s="5">
        <v>249</v>
      </c>
      <c r="I88" s="2" t="s">
        <v>232</v>
      </c>
      <c r="J88" s="2" t="s">
        <v>233</v>
      </c>
    </row>
    <row r="89" spans="1:12" ht="15.75" x14ac:dyDescent="0.25">
      <c r="A89" s="2" t="s">
        <v>418</v>
      </c>
      <c r="B89" s="5">
        <v>2013</v>
      </c>
      <c r="C89" s="2" t="s">
        <v>419</v>
      </c>
      <c r="D89" s="2" t="s">
        <v>3</v>
      </c>
      <c r="E89" s="2" t="s">
        <v>197</v>
      </c>
      <c r="F89" s="2"/>
      <c r="G89" s="2" t="s">
        <v>258</v>
      </c>
      <c r="H89" s="5">
        <v>96</v>
      </c>
      <c r="I89" s="2" t="s">
        <v>312</v>
      </c>
      <c r="J89" s="2" t="s">
        <v>313</v>
      </c>
    </row>
    <row r="90" spans="1:12" ht="15.75" x14ac:dyDescent="0.25">
      <c r="A90" s="2" t="s">
        <v>420</v>
      </c>
      <c r="B90" s="5">
        <v>2013</v>
      </c>
      <c r="C90" s="2" t="s">
        <v>421</v>
      </c>
      <c r="D90" s="2" t="s">
        <v>3</v>
      </c>
      <c r="E90" s="2" t="s">
        <v>289</v>
      </c>
      <c r="F90" s="2"/>
      <c r="G90" s="2" t="s">
        <v>174</v>
      </c>
      <c r="H90" s="5">
        <v>80</v>
      </c>
      <c r="I90" s="2" t="s">
        <v>422</v>
      </c>
      <c r="J90" s="2" t="s">
        <v>423</v>
      </c>
    </row>
    <row r="91" spans="1:12" ht="15.75" x14ac:dyDescent="0.25">
      <c r="A91" s="2" t="s">
        <v>424</v>
      </c>
      <c r="B91" s="5">
        <v>2013</v>
      </c>
      <c r="C91" s="2" t="s">
        <v>425</v>
      </c>
      <c r="D91" s="2" t="s">
        <v>3</v>
      </c>
      <c r="E91" s="2" t="s">
        <v>197</v>
      </c>
      <c r="F91" s="2"/>
      <c r="G91" s="2" t="s">
        <v>174</v>
      </c>
      <c r="H91" s="5">
        <v>16</v>
      </c>
      <c r="I91" s="2" t="s">
        <v>232</v>
      </c>
      <c r="J91" s="2" t="s">
        <v>233</v>
      </c>
    </row>
    <row r="92" spans="1:12" ht="15.75" x14ac:dyDescent="0.25">
      <c r="A92" s="2" t="s">
        <v>412</v>
      </c>
      <c r="B92" s="5">
        <v>2013</v>
      </c>
      <c r="C92" s="2" t="s">
        <v>426</v>
      </c>
      <c r="D92" s="2" t="s">
        <v>3</v>
      </c>
      <c r="E92" s="2" t="s">
        <v>227</v>
      </c>
      <c r="F92" s="2"/>
      <c r="G92" s="2" t="s">
        <v>174</v>
      </c>
      <c r="H92" s="5">
        <v>97</v>
      </c>
      <c r="I92" s="2" t="s">
        <v>312</v>
      </c>
      <c r="J92" s="2" t="s">
        <v>313</v>
      </c>
    </row>
    <row r="93" spans="1:12" ht="15.75" x14ac:dyDescent="0.25">
      <c r="A93" s="2" t="s">
        <v>427</v>
      </c>
      <c r="B93" s="5">
        <v>2013</v>
      </c>
      <c r="C93" s="2" t="s">
        <v>428</v>
      </c>
      <c r="D93" s="2" t="s">
        <v>3</v>
      </c>
      <c r="E93" s="2" t="s">
        <v>197</v>
      </c>
      <c r="F93" s="2"/>
      <c r="G93" s="2" t="s">
        <v>258</v>
      </c>
      <c r="H93" s="5">
        <v>216</v>
      </c>
      <c r="I93" s="2" t="s">
        <v>429</v>
      </c>
      <c r="J93" s="2" t="s">
        <v>430</v>
      </c>
    </row>
    <row r="94" spans="1:12" ht="15.75" x14ac:dyDescent="0.25">
      <c r="A94" s="2" t="s">
        <v>431</v>
      </c>
      <c r="B94" s="5">
        <v>2013</v>
      </c>
      <c r="C94" s="2" t="s">
        <v>432</v>
      </c>
      <c r="D94" s="2" t="s">
        <v>3</v>
      </c>
      <c r="E94" s="2" t="s">
        <v>433</v>
      </c>
      <c r="F94" s="2"/>
      <c r="G94" s="2" t="s">
        <v>174</v>
      </c>
      <c r="H94" s="5">
        <v>33</v>
      </c>
      <c r="I94" s="2" t="s">
        <v>301</v>
      </c>
      <c r="J94" s="2" t="s">
        <v>302</v>
      </c>
    </row>
    <row r="95" spans="1:12" ht="15.75" x14ac:dyDescent="0.25">
      <c r="A95" s="2" t="s">
        <v>434</v>
      </c>
      <c r="B95" s="5">
        <v>2013</v>
      </c>
      <c r="C95" s="2" t="s">
        <v>435</v>
      </c>
      <c r="D95" s="2" t="s">
        <v>3</v>
      </c>
      <c r="E95" s="2" t="s">
        <v>197</v>
      </c>
      <c r="F95" s="2" t="s">
        <v>436</v>
      </c>
      <c r="G95" s="2" t="s">
        <v>148</v>
      </c>
      <c r="H95" s="5">
        <v>100</v>
      </c>
      <c r="I95" s="2" t="s">
        <v>437</v>
      </c>
      <c r="J95" s="2" t="s">
        <v>438</v>
      </c>
    </row>
    <row r="96" spans="1:12" ht="15.75" x14ac:dyDescent="0.25">
      <c r="A96" s="2" t="s">
        <v>439</v>
      </c>
      <c r="B96" s="5">
        <v>2013</v>
      </c>
      <c r="C96" s="2" t="s">
        <v>440</v>
      </c>
      <c r="D96" s="2" t="s">
        <v>3</v>
      </c>
      <c r="E96" s="2" t="s">
        <v>197</v>
      </c>
      <c r="F96" s="2"/>
      <c r="G96" s="2" t="s">
        <v>174</v>
      </c>
      <c r="H96" s="5">
        <v>161</v>
      </c>
      <c r="I96" s="2" t="s">
        <v>245</v>
      </c>
      <c r="J96" s="2" t="s">
        <v>346</v>
      </c>
    </row>
    <row r="97" spans="1:15" ht="15.75" x14ac:dyDescent="0.25">
      <c r="A97" s="2" t="s">
        <v>439</v>
      </c>
      <c r="B97" s="5">
        <v>2013</v>
      </c>
      <c r="C97" s="2" t="s">
        <v>441</v>
      </c>
      <c r="D97" s="2" t="s">
        <v>3</v>
      </c>
      <c r="E97" s="2" t="s">
        <v>197</v>
      </c>
      <c r="F97" s="2"/>
      <c r="G97" s="2" t="s">
        <v>148</v>
      </c>
      <c r="H97" s="5">
        <v>15</v>
      </c>
      <c r="I97" s="2" t="s">
        <v>442</v>
      </c>
      <c r="J97" s="2" t="s">
        <v>443</v>
      </c>
    </row>
    <row r="98" spans="1:15" ht="15.75" x14ac:dyDescent="0.25">
      <c r="A98" s="2" t="s">
        <v>418</v>
      </c>
      <c r="B98" s="5">
        <v>2014</v>
      </c>
      <c r="C98" s="2" t="s">
        <v>444</v>
      </c>
      <c r="D98" s="2" t="s">
        <v>3</v>
      </c>
      <c r="E98" s="2" t="s">
        <v>197</v>
      </c>
      <c r="F98" s="2"/>
      <c r="G98" s="2" t="s">
        <v>258</v>
      </c>
      <c r="H98" s="5">
        <v>95</v>
      </c>
      <c r="I98" s="2" t="s">
        <v>445</v>
      </c>
      <c r="J98" s="2" t="s">
        <v>446</v>
      </c>
    </row>
    <row r="99" spans="1:15" ht="15.75" x14ac:dyDescent="0.25">
      <c r="A99" s="2" t="s">
        <v>447</v>
      </c>
      <c r="B99" s="5">
        <v>2014</v>
      </c>
      <c r="C99" s="2" t="s">
        <v>448</v>
      </c>
      <c r="D99" s="2" t="s">
        <v>3</v>
      </c>
      <c r="E99" s="2" t="s">
        <v>197</v>
      </c>
      <c r="F99" s="2"/>
      <c r="G99" s="2" t="s">
        <v>258</v>
      </c>
      <c r="H99" s="5">
        <v>180</v>
      </c>
      <c r="I99" s="2" t="s">
        <v>449</v>
      </c>
      <c r="J99" s="2" t="s">
        <v>450</v>
      </c>
    </row>
    <row r="100" spans="1:15" ht="15.75" x14ac:dyDescent="0.25">
      <c r="A100" s="2" t="s">
        <v>420</v>
      </c>
      <c r="B100" s="5">
        <v>2014</v>
      </c>
      <c r="C100" s="2" t="s">
        <v>451</v>
      </c>
      <c r="D100" s="2" t="s">
        <v>3</v>
      </c>
      <c r="E100" s="2" t="s">
        <v>289</v>
      </c>
      <c r="F100" s="2"/>
      <c r="G100" s="2" t="s">
        <v>174</v>
      </c>
      <c r="H100" s="5">
        <v>122</v>
      </c>
      <c r="I100" s="2" t="s">
        <v>232</v>
      </c>
      <c r="J100" s="2" t="s">
        <v>233</v>
      </c>
    </row>
    <row r="101" spans="1:15" ht="15.75" x14ac:dyDescent="0.25">
      <c r="A101" s="2" t="s">
        <v>452</v>
      </c>
      <c r="B101" s="5">
        <v>2014</v>
      </c>
      <c r="C101" s="2" t="s">
        <v>453</v>
      </c>
      <c r="D101" s="2" t="s">
        <v>3</v>
      </c>
      <c r="E101" s="2" t="s">
        <v>227</v>
      </c>
      <c r="F101" s="2"/>
      <c r="G101" s="2" t="s">
        <v>454</v>
      </c>
      <c r="H101" s="5">
        <v>45</v>
      </c>
      <c r="I101" s="2" t="s">
        <v>309</v>
      </c>
      <c r="J101" s="2" t="s">
        <v>310</v>
      </c>
    </row>
    <row r="102" spans="1:15" ht="15.75" x14ac:dyDescent="0.25">
      <c r="A102" s="2" t="s">
        <v>455</v>
      </c>
      <c r="B102" s="5">
        <v>2014</v>
      </c>
      <c r="C102" s="2" t="s">
        <v>456</v>
      </c>
      <c r="D102" s="2" t="s">
        <v>3</v>
      </c>
      <c r="E102" s="2" t="s">
        <v>197</v>
      </c>
      <c r="F102" s="2"/>
      <c r="G102" s="2" t="s">
        <v>174</v>
      </c>
      <c r="H102" s="5">
        <v>240</v>
      </c>
      <c r="I102" s="2" t="s">
        <v>442</v>
      </c>
      <c r="J102" s="2" t="s">
        <v>443</v>
      </c>
    </row>
    <row r="103" spans="1:15" ht="15.75" x14ac:dyDescent="0.25">
      <c r="A103" s="2" t="s">
        <v>457</v>
      </c>
      <c r="B103" s="5">
        <v>2014</v>
      </c>
      <c r="C103" s="2" t="s">
        <v>458</v>
      </c>
      <c r="D103" s="2" t="s">
        <v>3</v>
      </c>
      <c r="E103" s="2" t="s">
        <v>197</v>
      </c>
      <c r="F103" s="2"/>
      <c r="G103" s="2" t="s">
        <v>258</v>
      </c>
      <c r="H103" s="5">
        <v>96</v>
      </c>
      <c r="I103" s="2" t="s">
        <v>150</v>
      </c>
      <c r="J103" s="2" t="s">
        <v>149</v>
      </c>
    </row>
    <row r="104" spans="1:15" ht="15.75" x14ac:dyDescent="0.25">
      <c r="A104" s="2" t="s">
        <v>459</v>
      </c>
      <c r="B104" s="5">
        <v>2014</v>
      </c>
      <c r="C104" s="2" t="s">
        <v>460</v>
      </c>
      <c r="D104" s="2" t="s">
        <v>3</v>
      </c>
      <c r="E104" s="2" t="s">
        <v>294</v>
      </c>
      <c r="F104" s="2"/>
      <c r="G104" s="2" t="s">
        <v>174</v>
      </c>
      <c r="H104" s="5">
        <v>150</v>
      </c>
      <c r="I104" s="2" t="s">
        <v>461</v>
      </c>
      <c r="J104" s="2" t="s">
        <v>462</v>
      </c>
    </row>
    <row r="105" spans="1:15" ht="15.75" x14ac:dyDescent="0.25">
      <c r="A105" s="2" t="s">
        <v>463</v>
      </c>
      <c r="B105" s="5">
        <v>2014</v>
      </c>
      <c r="C105" s="2" t="s">
        <v>464</v>
      </c>
      <c r="D105" s="2" t="s">
        <v>3</v>
      </c>
      <c r="E105" s="2" t="s">
        <v>197</v>
      </c>
      <c r="F105" s="2"/>
      <c r="G105" s="2" t="s">
        <v>465</v>
      </c>
      <c r="H105" s="5">
        <v>64</v>
      </c>
      <c r="I105" s="2" t="s">
        <v>466</v>
      </c>
      <c r="J105" s="2" t="s">
        <v>467</v>
      </c>
    </row>
    <row r="106" spans="1:15" ht="15.75" x14ac:dyDescent="0.25">
      <c r="A106" s="2" t="s">
        <v>412</v>
      </c>
      <c r="B106" s="5">
        <v>2015</v>
      </c>
      <c r="C106" s="2" t="s">
        <v>468</v>
      </c>
      <c r="D106" s="2" t="s">
        <v>3</v>
      </c>
      <c r="E106" s="2" t="s">
        <v>227</v>
      </c>
      <c r="F106" s="2"/>
      <c r="G106" s="2" t="s">
        <v>174</v>
      </c>
      <c r="H106" s="5">
        <v>50</v>
      </c>
      <c r="I106" s="2" t="s">
        <v>170</v>
      </c>
      <c r="J106" s="2" t="s">
        <v>469</v>
      </c>
    </row>
    <row r="107" spans="1:15" ht="15.75" x14ac:dyDescent="0.25">
      <c r="A107" s="2" t="s">
        <v>470</v>
      </c>
      <c r="B107" s="5">
        <v>2015</v>
      </c>
      <c r="C107" s="2" t="s">
        <v>471</v>
      </c>
      <c r="D107" s="2" t="s">
        <v>3</v>
      </c>
      <c r="E107" s="2" t="s">
        <v>197</v>
      </c>
      <c r="F107" s="2"/>
      <c r="G107" s="2" t="s">
        <v>174</v>
      </c>
      <c r="H107" s="5">
        <v>166</v>
      </c>
      <c r="I107" s="2" t="s">
        <v>442</v>
      </c>
      <c r="J107" s="2" t="s">
        <v>443</v>
      </c>
    </row>
    <row r="108" spans="1:15" ht="15.75" x14ac:dyDescent="0.25">
      <c r="H108" s="10" t="s">
        <v>182</v>
      </c>
      <c r="I108" s="11" t="s">
        <v>279</v>
      </c>
      <c r="J108" s="11" t="s">
        <v>280</v>
      </c>
      <c r="K108" s="11" t="s">
        <v>472</v>
      </c>
      <c r="L108" s="11" t="s">
        <v>24</v>
      </c>
      <c r="M108" s="11"/>
      <c r="N108" s="11"/>
    </row>
    <row r="109" spans="1:15" ht="15.75" x14ac:dyDescent="0.25">
      <c r="H109" s="10" t="s">
        <v>181</v>
      </c>
      <c r="I109" s="11" t="s">
        <v>338</v>
      </c>
      <c r="J109" s="11" t="s">
        <v>243</v>
      </c>
      <c r="K109" s="11" t="s">
        <v>224</v>
      </c>
      <c r="L109" s="11" t="s">
        <v>224</v>
      </c>
      <c r="M109" s="11"/>
      <c r="N109" s="11"/>
    </row>
    <row r="110" spans="1:15" ht="15.75" x14ac:dyDescent="0.25">
      <c r="H110" s="10" t="s">
        <v>183</v>
      </c>
      <c r="I110" s="11" t="s">
        <v>242</v>
      </c>
      <c r="J110" s="11" t="s">
        <v>339</v>
      </c>
      <c r="K110" s="11" t="s">
        <v>247</v>
      </c>
      <c r="L110" s="11" t="s">
        <v>224</v>
      </c>
      <c r="M110" s="11"/>
      <c r="N110" s="11"/>
    </row>
    <row r="112" spans="1:15" x14ac:dyDescent="0.25">
      <c r="A112" s="20" t="s">
        <v>4</v>
      </c>
      <c r="B112" s="20" t="s">
        <v>138</v>
      </c>
      <c r="C112" s="20" t="s">
        <v>138</v>
      </c>
      <c r="D112" s="20" t="s">
        <v>138</v>
      </c>
      <c r="E112" s="20" t="s">
        <v>138</v>
      </c>
      <c r="F112" s="20" t="s">
        <v>138</v>
      </c>
      <c r="G112" s="20" t="s">
        <v>138</v>
      </c>
      <c r="H112" s="20" t="s">
        <v>138</v>
      </c>
      <c r="I112" s="20" t="s">
        <v>138</v>
      </c>
      <c r="J112" s="20" t="s">
        <v>138</v>
      </c>
      <c r="K112" s="20" t="s">
        <v>138</v>
      </c>
      <c r="L112" s="20" t="s">
        <v>138</v>
      </c>
      <c r="M112" s="20" t="s">
        <v>138</v>
      </c>
      <c r="N112" s="20" t="s">
        <v>138</v>
      </c>
      <c r="O112" s="19"/>
    </row>
    <row r="113" spans="1:12" ht="15.75" x14ac:dyDescent="0.25">
      <c r="A113" s="2" t="s">
        <v>139</v>
      </c>
      <c r="B113" s="5">
        <v>2001</v>
      </c>
      <c r="C113" s="2" t="s">
        <v>140</v>
      </c>
      <c r="D113" s="2" t="s">
        <v>4</v>
      </c>
      <c r="E113" s="2" t="s">
        <v>473</v>
      </c>
      <c r="F113" s="2"/>
      <c r="G113" s="2" t="s">
        <v>142</v>
      </c>
      <c r="H113" s="5">
        <v>27</v>
      </c>
      <c r="I113" s="2" t="s">
        <v>474</v>
      </c>
      <c r="J113" s="2" t="s">
        <v>475</v>
      </c>
      <c r="K113" s="2" t="s">
        <v>24</v>
      </c>
    </row>
    <row r="114" spans="1:12" ht="15.75" x14ac:dyDescent="0.25">
      <c r="A114" s="2" t="s">
        <v>476</v>
      </c>
      <c r="B114" s="5">
        <v>2002</v>
      </c>
      <c r="C114" s="2" t="s">
        <v>477</v>
      </c>
      <c r="D114" s="2" t="s">
        <v>4</v>
      </c>
      <c r="E114" s="2" t="s">
        <v>478</v>
      </c>
      <c r="F114" s="2"/>
      <c r="G114" s="2" t="s">
        <v>148</v>
      </c>
      <c r="H114" s="5">
        <v>500</v>
      </c>
      <c r="I114" s="2" t="s">
        <v>479</v>
      </c>
      <c r="J114" s="2" t="s">
        <v>480</v>
      </c>
      <c r="K114" s="2" t="s">
        <v>481</v>
      </c>
      <c r="L114" s="2" t="s">
        <v>24</v>
      </c>
    </row>
    <row r="115" spans="1:12" ht="15.75" x14ac:dyDescent="0.25">
      <c r="A115" s="2" t="s">
        <v>146</v>
      </c>
      <c r="B115" s="5">
        <v>2003</v>
      </c>
      <c r="C115" s="2" t="s">
        <v>147</v>
      </c>
      <c r="D115" s="2" t="s">
        <v>4</v>
      </c>
      <c r="E115" s="2" t="s">
        <v>482</v>
      </c>
      <c r="F115" s="2"/>
      <c r="G115" s="2" t="s">
        <v>148</v>
      </c>
      <c r="H115" s="5">
        <v>23</v>
      </c>
      <c r="I115" s="2" t="s">
        <v>483</v>
      </c>
      <c r="J115" s="2" t="s">
        <v>484</v>
      </c>
    </row>
    <row r="116" spans="1:12" ht="15.75" x14ac:dyDescent="0.25">
      <c r="A116" s="2" t="s">
        <v>485</v>
      </c>
      <c r="B116" s="5">
        <v>2003</v>
      </c>
      <c r="C116" s="2" t="s">
        <v>486</v>
      </c>
      <c r="D116" s="2" t="s">
        <v>4</v>
      </c>
      <c r="E116" s="2" t="s">
        <v>478</v>
      </c>
      <c r="F116" s="2"/>
      <c r="G116" s="2" t="s">
        <v>174</v>
      </c>
      <c r="H116" s="5">
        <v>49</v>
      </c>
      <c r="I116" s="2" t="s">
        <v>487</v>
      </c>
      <c r="J116" s="2" t="s">
        <v>488</v>
      </c>
    </row>
    <row r="117" spans="1:12" ht="15.75" x14ac:dyDescent="0.25">
      <c r="A117" s="2" t="s">
        <v>155</v>
      </c>
      <c r="B117" s="5">
        <v>2003</v>
      </c>
      <c r="C117" s="2" t="s">
        <v>156</v>
      </c>
      <c r="D117" s="2" t="s">
        <v>4</v>
      </c>
      <c r="E117" s="2" t="s">
        <v>482</v>
      </c>
      <c r="F117" s="2"/>
      <c r="G117" s="2" t="s">
        <v>157</v>
      </c>
      <c r="H117" s="5">
        <v>111</v>
      </c>
      <c r="I117" s="2" t="s">
        <v>489</v>
      </c>
      <c r="J117" s="2" t="s">
        <v>490</v>
      </c>
    </row>
    <row r="118" spans="1:12" ht="15.75" x14ac:dyDescent="0.25">
      <c r="A118" s="2" t="s">
        <v>155</v>
      </c>
      <c r="B118" s="5">
        <v>2003</v>
      </c>
      <c r="C118" s="2" t="s">
        <v>156</v>
      </c>
      <c r="D118" s="2" t="s">
        <v>4</v>
      </c>
      <c r="E118" s="2" t="s">
        <v>491</v>
      </c>
      <c r="F118" s="2" t="s">
        <v>492</v>
      </c>
      <c r="G118" s="2" t="s">
        <v>157</v>
      </c>
      <c r="H118" s="5">
        <v>102</v>
      </c>
      <c r="I118" s="2" t="s">
        <v>493</v>
      </c>
      <c r="J118" s="2" t="s">
        <v>494</v>
      </c>
      <c r="K118" s="2" t="s">
        <v>495</v>
      </c>
    </row>
    <row r="119" spans="1:12" ht="15.75" x14ac:dyDescent="0.25">
      <c r="A119" s="2" t="s">
        <v>496</v>
      </c>
      <c r="B119" s="5">
        <v>2004</v>
      </c>
      <c r="C119" s="2" t="s">
        <v>497</v>
      </c>
      <c r="D119" s="2" t="s">
        <v>4</v>
      </c>
      <c r="E119" s="2" t="s">
        <v>498</v>
      </c>
      <c r="F119" s="2"/>
      <c r="G119" s="2" t="s">
        <v>174</v>
      </c>
      <c r="H119" s="5">
        <v>50</v>
      </c>
      <c r="I119" s="2" t="s">
        <v>483</v>
      </c>
      <c r="J119" s="2" t="s">
        <v>484</v>
      </c>
    </row>
    <row r="120" spans="1:12" ht="15.75" x14ac:dyDescent="0.25">
      <c r="A120" s="2" t="s">
        <v>499</v>
      </c>
      <c r="B120" s="5">
        <v>2004</v>
      </c>
      <c r="C120" s="2" t="s">
        <v>500</v>
      </c>
      <c r="D120" s="2" t="s">
        <v>4</v>
      </c>
      <c r="E120" s="2" t="s">
        <v>501</v>
      </c>
      <c r="F120" s="2"/>
      <c r="G120" s="2" t="s">
        <v>174</v>
      </c>
      <c r="H120" s="5">
        <v>74</v>
      </c>
      <c r="I120" s="2" t="s">
        <v>502</v>
      </c>
      <c r="J120" s="2" t="s">
        <v>503</v>
      </c>
    </row>
    <row r="121" spans="1:12" ht="15.75" x14ac:dyDescent="0.25">
      <c r="A121" s="2" t="s">
        <v>504</v>
      </c>
      <c r="B121" s="5">
        <v>2005</v>
      </c>
      <c r="C121" s="2" t="s">
        <v>505</v>
      </c>
      <c r="D121" s="2" t="s">
        <v>4</v>
      </c>
      <c r="E121" s="2" t="s">
        <v>506</v>
      </c>
      <c r="F121" s="2"/>
      <c r="G121" s="2" t="s">
        <v>148</v>
      </c>
      <c r="H121" s="5">
        <v>177</v>
      </c>
      <c r="I121" s="2" t="s">
        <v>507</v>
      </c>
      <c r="J121" s="2" t="s">
        <v>508</v>
      </c>
    </row>
    <row r="122" spans="1:12" ht="15.75" x14ac:dyDescent="0.25">
      <c r="A122" s="2" t="s">
        <v>509</v>
      </c>
      <c r="B122" s="5">
        <v>2005</v>
      </c>
      <c r="C122" s="2" t="s">
        <v>510</v>
      </c>
      <c r="D122" s="2" t="s">
        <v>4</v>
      </c>
      <c r="E122" s="2" t="s">
        <v>511</v>
      </c>
      <c r="F122" s="2"/>
      <c r="G122" s="2" t="s">
        <v>142</v>
      </c>
      <c r="H122" s="5">
        <v>77</v>
      </c>
      <c r="I122" s="2" t="s">
        <v>512</v>
      </c>
      <c r="J122" s="2" t="s">
        <v>513</v>
      </c>
      <c r="K122" s="2" t="s">
        <v>24</v>
      </c>
      <c r="L122" s="2" t="s">
        <v>24</v>
      </c>
    </row>
    <row r="123" spans="1:12" ht="15.75" x14ac:dyDescent="0.25">
      <c r="A123" s="2" t="s">
        <v>514</v>
      </c>
      <c r="B123" s="5">
        <v>2006</v>
      </c>
      <c r="C123" s="2" t="s">
        <v>515</v>
      </c>
      <c r="D123" s="2" t="s">
        <v>4</v>
      </c>
      <c r="E123" s="2" t="s">
        <v>516</v>
      </c>
      <c r="F123" s="2"/>
      <c r="G123" s="2" t="s">
        <v>148</v>
      </c>
      <c r="H123" s="5">
        <v>136</v>
      </c>
      <c r="I123" s="2" t="s">
        <v>517</v>
      </c>
      <c r="J123" s="2" t="s">
        <v>518</v>
      </c>
    </row>
    <row r="124" spans="1:12" ht="15.75" x14ac:dyDescent="0.25">
      <c r="A124" s="2" t="s">
        <v>519</v>
      </c>
      <c r="B124" s="5">
        <v>2006</v>
      </c>
      <c r="C124" s="2" t="s">
        <v>520</v>
      </c>
      <c r="D124" s="2" t="s">
        <v>4</v>
      </c>
      <c r="E124" s="2" t="s">
        <v>521</v>
      </c>
      <c r="F124" s="2"/>
      <c r="G124" s="2" t="s">
        <v>148</v>
      </c>
      <c r="H124" s="5">
        <v>51</v>
      </c>
      <c r="I124" s="2" t="s">
        <v>522</v>
      </c>
      <c r="J124" s="2" t="s">
        <v>523</v>
      </c>
    </row>
    <row r="125" spans="1:12" ht="15.75" x14ac:dyDescent="0.25">
      <c r="A125" s="2" t="s">
        <v>524</v>
      </c>
      <c r="B125" s="5">
        <v>2007</v>
      </c>
      <c r="C125" s="2" t="s">
        <v>525</v>
      </c>
      <c r="D125" s="2" t="s">
        <v>4</v>
      </c>
      <c r="E125" s="2" t="s">
        <v>526</v>
      </c>
      <c r="F125" s="2"/>
      <c r="G125" s="2" t="s">
        <v>142</v>
      </c>
      <c r="H125" s="5">
        <v>283</v>
      </c>
      <c r="I125" s="2" t="s">
        <v>527</v>
      </c>
      <c r="J125" s="2" t="s">
        <v>528</v>
      </c>
    </row>
    <row r="126" spans="1:12" ht="15.75" x14ac:dyDescent="0.25">
      <c r="A126" s="2" t="s">
        <v>529</v>
      </c>
      <c r="B126" s="5">
        <v>2007</v>
      </c>
      <c r="C126" s="2" t="s">
        <v>530</v>
      </c>
      <c r="D126" s="2" t="s">
        <v>4</v>
      </c>
      <c r="E126" s="2" t="s">
        <v>531</v>
      </c>
      <c r="F126" s="2"/>
      <c r="G126" s="2" t="s">
        <v>148</v>
      </c>
      <c r="H126" s="5">
        <v>449</v>
      </c>
      <c r="I126" s="2" t="s">
        <v>180</v>
      </c>
      <c r="J126" s="2" t="s">
        <v>532</v>
      </c>
    </row>
    <row r="127" spans="1:12" ht="15.75" x14ac:dyDescent="0.25">
      <c r="A127" s="2" t="s">
        <v>166</v>
      </c>
      <c r="B127" s="5">
        <v>2007</v>
      </c>
      <c r="C127" s="2" t="s">
        <v>167</v>
      </c>
      <c r="D127" s="2" t="s">
        <v>4</v>
      </c>
      <c r="E127" s="2" t="s">
        <v>482</v>
      </c>
      <c r="F127" s="2"/>
      <c r="G127" s="2" t="s">
        <v>168</v>
      </c>
      <c r="H127" s="5">
        <v>166</v>
      </c>
      <c r="I127" s="2" t="s">
        <v>180</v>
      </c>
      <c r="J127" s="2" t="s">
        <v>532</v>
      </c>
    </row>
    <row r="128" spans="1:12" ht="15.75" x14ac:dyDescent="0.25">
      <c r="A128" s="2" t="s">
        <v>533</v>
      </c>
      <c r="B128" s="5">
        <v>2007</v>
      </c>
      <c r="C128" s="2" t="s">
        <v>534</v>
      </c>
      <c r="D128" s="2" t="s">
        <v>4</v>
      </c>
      <c r="E128" s="2" t="s">
        <v>535</v>
      </c>
      <c r="F128" s="2"/>
      <c r="G128" s="2" t="s">
        <v>148</v>
      </c>
      <c r="H128" s="5">
        <v>160</v>
      </c>
      <c r="I128" s="2" t="s">
        <v>536</v>
      </c>
      <c r="J128" s="2" t="s">
        <v>537</v>
      </c>
      <c r="K128" s="2" t="s">
        <v>24</v>
      </c>
    </row>
    <row r="129" spans="1:11" ht="15.75" x14ac:dyDescent="0.25">
      <c r="A129" s="2" t="s">
        <v>538</v>
      </c>
      <c r="B129" s="5">
        <v>2007</v>
      </c>
      <c r="C129" s="2" t="s">
        <v>539</v>
      </c>
      <c r="D129" s="2" t="s">
        <v>4</v>
      </c>
      <c r="E129" s="2" t="s">
        <v>501</v>
      </c>
      <c r="F129" s="2"/>
      <c r="G129" s="2" t="s">
        <v>174</v>
      </c>
      <c r="H129" s="5">
        <v>134</v>
      </c>
      <c r="I129" s="2" t="s">
        <v>540</v>
      </c>
      <c r="J129" s="2" t="s">
        <v>541</v>
      </c>
    </row>
    <row r="130" spans="1:11" ht="15.75" x14ac:dyDescent="0.25">
      <c r="A130" s="2" t="s">
        <v>542</v>
      </c>
      <c r="B130" s="5">
        <v>2007</v>
      </c>
      <c r="C130" s="2" t="s">
        <v>543</v>
      </c>
      <c r="D130" s="2" t="s">
        <v>4</v>
      </c>
      <c r="E130" s="2" t="s">
        <v>506</v>
      </c>
      <c r="F130" s="2"/>
      <c r="G130" s="2" t="s">
        <v>148</v>
      </c>
      <c r="H130" s="5">
        <v>204</v>
      </c>
      <c r="I130" s="2" t="s">
        <v>544</v>
      </c>
      <c r="J130" s="2" t="s">
        <v>545</v>
      </c>
    </row>
    <row r="131" spans="1:11" ht="15.75" x14ac:dyDescent="0.25">
      <c r="A131" s="2" t="s">
        <v>546</v>
      </c>
      <c r="B131" s="5">
        <v>2008</v>
      </c>
      <c r="C131" s="2" t="s">
        <v>547</v>
      </c>
      <c r="D131" s="2" t="s">
        <v>4</v>
      </c>
      <c r="E131" s="2" t="s">
        <v>506</v>
      </c>
      <c r="F131" s="2"/>
      <c r="G131" s="2" t="s">
        <v>258</v>
      </c>
      <c r="H131" s="5">
        <v>53</v>
      </c>
      <c r="I131" s="2" t="s">
        <v>548</v>
      </c>
      <c r="J131" s="2" t="s">
        <v>549</v>
      </c>
    </row>
    <row r="132" spans="1:11" ht="15.75" x14ac:dyDescent="0.25">
      <c r="A132" s="2" t="s">
        <v>325</v>
      </c>
      <c r="B132" s="5">
        <v>2008</v>
      </c>
      <c r="C132" s="2" t="s">
        <v>326</v>
      </c>
      <c r="D132" s="2" t="s">
        <v>4</v>
      </c>
      <c r="E132" s="2" t="s">
        <v>327</v>
      </c>
      <c r="F132" s="2"/>
      <c r="G132" s="2" t="s">
        <v>148</v>
      </c>
      <c r="H132" s="5">
        <v>83</v>
      </c>
      <c r="I132" s="2" t="s">
        <v>550</v>
      </c>
      <c r="J132" s="2" t="s">
        <v>551</v>
      </c>
      <c r="K132" s="2" t="s">
        <v>24</v>
      </c>
    </row>
    <row r="133" spans="1:11" ht="15.75" x14ac:dyDescent="0.25">
      <c r="A133" s="2" t="s">
        <v>552</v>
      </c>
      <c r="B133" s="5">
        <v>2008</v>
      </c>
      <c r="C133" s="2" t="s">
        <v>553</v>
      </c>
      <c r="D133" s="2" t="s">
        <v>4</v>
      </c>
      <c r="E133" s="2" t="s">
        <v>491</v>
      </c>
      <c r="F133" s="2"/>
      <c r="G133" s="2" t="s">
        <v>554</v>
      </c>
      <c r="H133" s="5">
        <v>27</v>
      </c>
      <c r="I133" s="2" t="s">
        <v>165</v>
      </c>
      <c r="J133" s="2" t="s">
        <v>555</v>
      </c>
    </row>
    <row r="134" spans="1:11" ht="15.75" x14ac:dyDescent="0.25">
      <c r="A134" s="2" t="s">
        <v>556</v>
      </c>
      <c r="B134" s="5">
        <v>2009</v>
      </c>
      <c r="C134" s="2" t="s">
        <v>557</v>
      </c>
      <c r="D134" s="2" t="s">
        <v>4</v>
      </c>
      <c r="E134" s="2" t="s">
        <v>558</v>
      </c>
      <c r="F134" s="2"/>
      <c r="G134" s="2" t="s">
        <v>559</v>
      </c>
      <c r="H134" s="5">
        <v>200</v>
      </c>
      <c r="I134" s="2" t="s">
        <v>560</v>
      </c>
      <c r="J134" s="2" t="s">
        <v>561</v>
      </c>
    </row>
    <row r="135" spans="1:11" ht="15.75" x14ac:dyDescent="0.25">
      <c r="A135" s="2" t="s">
        <v>562</v>
      </c>
      <c r="B135" s="5">
        <v>2009</v>
      </c>
      <c r="C135" s="2" t="s">
        <v>563</v>
      </c>
      <c r="D135" s="2" t="s">
        <v>4</v>
      </c>
      <c r="E135" s="2" t="s">
        <v>491</v>
      </c>
      <c r="F135" s="2"/>
      <c r="G135" s="2" t="s">
        <v>258</v>
      </c>
      <c r="H135" s="5">
        <v>32</v>
      </c>
      <c r="I135" s="2" t="s">
        <v>517</v>
      </c>
      <c r="J135" s="2" t="s">
        <v>518</v>
      </c>
    </row>
    <row r="136" spans="1:11" ht="15.75" x14ac:dyDescent="0.25">
      <c r="A136" s="2" t="s">
        <v>564</v>
      </c>
      <c r="B136" s="5">
        <v>2009</v>
      </c>
      <c r="C136" s="2" t="s">
        <v>565</v>
      </c>
      <c r="D136" s="2" t="s">
        <v>4</v>
      </c>
      <c r="E136" s="2" t="s">
        <v>521</v>
      </c>
      <c r="F136" s="2"/>
      <c r="G136" s="2" t="s">
        <v>566</v>
      </c>
      <c r="H136" s="5">
        <v>50</v>
      </c>
      <c r="I136" s="2" t="s">
        <v>567</v>
      </c>
      <c r="J136" s="2" t="s">
        <v>568</v>
      </c>
    </row>
    <row r="137" spans="1:11" ht="15.75" x14ac:dyDescent="0.25">
      <c r="A137" s="2" t="s">
        <v>569</v>
      </c>
      <c r="B137" s="5">
        <v>2010</v>
      </c>
      <c r="C137" s="2" t="s">
        <v>570</v>
      </c>
      <c r="D137" s="2" t="s">
        <v>4</v>
      </c>
      <c r="E137" s="2" t="s">
        <v>506</v>
      </c>
      <c r="F137" s="2"/>
      <c r="G137" s="2" t="s">
        <v>148</v>
      </c>
      <c r="H137" s="5">
        <v>207</v>
      </c>
      <c r="I137" s="2" t="s">
        <v>571</v>
      </c>
      <c r="J137" s="2" t="s">
        <v>572</v>
      </c>
    </row>
    <row r="138" spans="1:11" ht="15.75" x14ac:dyDescent="0.25">
      <c r="A138" s="2" t="s">
        <v>573</v>
      </c>
      <c r="B138" s="5">
        <v>2010</v>
      </c>
      <c r="C138" s="2" t="s">
        <v>574</v>
      </c>
      <c r="D138" s="2" t="s">
        <v>4</v>
      </c>
      <c r="E138" s="2" t="s">
        <v>491</v>
      </c>
      <c r="F138" s="2"/>
      <c r="G138" s="2" t="s">
        <v>174</v>
      </c>
      <c r="H138" s="5">
        <v>26</v>
      </c>
      <c r="I138" s="2" t="s">
        <v>30</v>
      </c>
      <c r="J138" s="2" t="s">
        <v>575</v>
      </c>
    </row>
    <row r="139" spans="1:11" ht="15.75" x14ac:dyDescent="0.25">
      <c r="A139" s="2" t="s">
        <v>576</v>
      </c>
      <c r="B139" s="5">
        <v>2011</v>
      </c>
      <c r="C139" s="2" t="s">
        <v>577</v>
      </c>
      <c r="D139" s="2" t="s">
        <v>4</v>
      </c>
      <c r="E139" s="2" t="s">
        <v>491</v>
      </c>
      <c r="F139" s="2"/>
      <c r="G139" s="2" t="s">
        <v>174</v>
      </c>
      <c r="H139" s="5">
        <v>92</v>
      </c>
      <c r="I139" s="2" t="s">
        <v>578</v>
      </c>
      <c r="J139" s="2" t="s">
        <v>579</v>
      </c>
    </row>
    <row r="140" spans="1:11" ht="15.75" x14ac:dyDescent="0.25">
      <c r="A140" s="2" t="s">
        <v>580</v>
      </c>
      <c r="B140" s="5">
        <v>2011</v>
      </c>
      <c r="C140" s="2" t="s">
        <v>581</v>
      </c>
      <c r="D140" s="2" t="s">
        <v>4</v>
      </c>
      <c r="E140" s="2" t="s">
        <v>582</v>
      </c>
      <c r="F140" s="2"/>
      <c r="G140" s="2" t="s">
        <v>583</v>
      </c>
      <c r="H140" s="5">
        <v>15</v>
      </c>
      <c r="I140" s="2" t="s">
        <v>517</v>
      </c>
      <c r="J140" s="2" t="s">
        <v>518</v>
      </c>
    </row>
    <row r="141" spans="1:11" ht="15.75" x14ac:dyDescent="0.25">
      <c r="A141" s="2" t="s">
        <v>562</v>
      </c>
      <c r="B141" s="5">
        <v>2011</v>
      </c>
      <c r="C141" s="2" t="s">
        <v>584</v>
      </c>
      <c r="D141" s="2" t="s">
        <v>4</v>
      </c>
      <c r="E141" s="2" t="s">
        <v>491</v>
      </c>
      <c r="F141" s="2"/>
      <c r="G141" s="2" t="s">
        <v>349</v>
      </c>
      <c r="H141" s="5">
        <v>51</v>
      </c>
      <c r="I141" s="2" t="s">
        <v>585</v>
      </c>
      <c r="J141" s="2" t="s">
        <v>480</v>
      </c>
    </row>
    <row r="142" spans="1:11" ht="15.75" x14ac:dyDescent="0.25">
      <c r="A142" s="2" t="s">
        <v>586</v>
      </c>
      <c r="B142" s="5">
        <v>2011</v>
      </c>
      <c r="C142" s="2" t="s">
        <v>587</v>
      </c>
      <c r="D142" s="2" t="s">
        <v>4</v>
      </c>
      <c r="E142" s="2" t="s">
        <v>588</v>
      </c>
      <c r="F142" s="2"/>
      <c r="G142" s="2" t="s">
        <v>142</v>
      </c>
      <c r="H142" s="5">
        <v>140</v>
      </c>
      <c r="I142" s="2" t="s">
        <v>517</v>
      </c>
      <c r="J142" s="2" t="s">
        <v>518</v>
      </c>
    </row>
    <row r="143" spans="1:11" ht="15.75" x14ac:dyDescent="0.25">
      <c r="A143" s="2" t="s">
        <v>589</v>
      </c>
      <c r="B143" s="5">
        <v>2011</v>
      </c>
      <c r="C143" s="2" t="s">
        <v>590</v>
      </c>
      <c r="D143" s="2" t="s">
        <v>4</v>
      </c>
      <c r="E143" s="2" t="s">
        <v>506</v>
      </c>
      <c r="F143" s="2"/>
      <c r="G143" s="2" t="s">
        <v>174</v>
      </c>
      <c r="H143" s="5">
        <v>400</v>
      </c>
      <c r="I143" s="2" t="s">
        <v>591</v>
      </c>
      <c r="J143" s="2" t="s">
        <v>592</v>
      </c>
    </row>
    <row r="144" spans="1:11" ht="15.75" x14ac:dyDescent="0.25">
      <c r="A144" s="2" t="s">
        <v>593</v>
      </c>
      <c r="B144" s="5">
        <v>2011</v>
      </c>
      <c r="C144" s="2" t="s">
        <v>594</v>
      </c>
      <c r="D144" s="2" t="s">
        <v>4</v>
      </c>
      <c r="E144" s="2" t="s">
        <v>501</v>
      </c>
      <c r="F144" s="2"/>
      <c r="G144" s="2" t="s">
        <v>174</v>
      </c>
      <c r="H144" s="5">
        <v>40</v>
      </c>
      <c r="I144" s="2" t="s">
        <v>595</v>
      </c>
      <c r="J144" s="2" t="s">
        <v>596</v>
      </c>
    </row>
    <row r="145" spans="1:14" ht="15.75" x14ac:dyDescent="0.25">
      <c r="A145" s="2" t="s">
        <v>176</v>
      </c>
      <c r="B145" s="5">
        <v>2012</v>
      </c>
      <c r="C145" s="2" t="s">
        <v>177</v>
      </c>
      <c r="D145" s="2" t="s">
        <v>4</v>
      </c>
      <c r="E145" s="2" t="s">
        <v>482</v>
      </c>
      <c r="F145" s="2"/>
      <c r="G145" s="2" t="s">
        <v>178</v>
      </c>
      <c r="H145" s="5">
        <v>85</v>
      </c>
      <c r="I145" s="2" t="s">
        <v>548</v>
      </c>
      <c r="J145" s="2" t="s">
        <v>549</v>
      </c>
      <c r="K145" s="2" t="s">
        <v>24</v>
      </c>
      <c r="L145" s="2" t="s">
        <v>24</v>
      </c>
    </row>
    <row r="146" spans="1:14" ht="15.75" x14ac:dyDescent="0.25">
      <c r="A146" s="2" t="s">
        <v>176</v>
      </c>
      <c r="B146" s="5">
        <v>2012</v>
      </c>
      <c r="C146" s="2" t="s">
        <v>177</v>
      </c>
      <c r="D146" s="2" t="s">
        <v>4</v>
      </c>
      <c r="E146" s="2" t="s">
        <v>597</v>
      </c>
      <c r="F146" s="2"/>
      <c r="G146" s="2" t="s">
        <v>178</v>
      </c>
      <c r="H146" s="5">
        <v>89</v>
      </c>
      <c r="I146" s="2" t="s">
        <v>560</v>
      </c>
      <c r="J146" s="2" t="s">
        <v>561</v>
      </c>
      <c r="K146" s="2" t="s">
        <v>24</v>
      </c>
      <c r="L146" s="2" t="s">
        <v>24</v>
      </c>
    </row>
    <row r="147" spans="1:14" ht="15.75" x14ac:dyDescent="0.25">
      <c r="A147" s="2" t="s">
        <v>176</v>
      </c>
      <c r="B147" s="5">
        <v>2012</v>
      </c>
      <c r="C147" s="2" t="s">
        <v>177</v>
      </c>
      <c r="D147" s="2" t="s">
        <v>4</v>
      </c>
      <c r="E147" s="2" t="s">
        <v>531</v>
      </c>
      <c r="F147" s="2"/>
      <c r="G147" s="2" t="s">
        <v>178</v>
      </c>
      <c r="H147" s="5">
        <v>93</v>
      </c>
      <c r="I147" s="2" t="s">
        <v>548</v>
      </c>
      <c r="J147" s="2" t="s">
        <v>549</v>
      </c>
      <c r="K147" s="2" t="s">
        <v>24</v>
      </c>
      <c r="L147" s="2" t="s">
        <v>24</v>
      </c>
    </row>
    <row r="148" spans="1:14" ht="15.75" x14ac:dyDescent="0.25">
      <c r="A148" s="2" t="s">
        <v>176</v>
      </c>
      <c r="B148" s="5">
        <v>2012</v>
      </c>
      <c r="C148" s="2" t="s">
        <v>177</v>
      </c>
      <c r="D148" s="2" t="s">
        <v>4</v>
      </c>
      <c r="E148" s="2" t="s">
        <v>491</v>
      </c>
      <c r="F148" s="2" t="s">
        <v>492</v>
      </c>
      <c r="G148" s="2" t="s">
        <v>178</v>
      </c>
      <c r="H148" s="5">
        <v>98</v>
      </c>
      <c r="I148" s="2" t="s">
        <v>598</v>
      </c>
      <c r="J148" s="2" t="s">
        <v>549</v>
      </c>
      <c r="K148" s="2" t="s">
        <v>599</v>
      </c>
      <c r="L148" s="2" t="s">
        <v>24</v>
      </c>
    </row>
    <row r="149" spans="1:14" ht="15.75" x14ac:dyDescent="0.25">
      <c r="A149" s="2" t="s">
        <v>600</v>
      </c>
      <c r="B149" s="5">
        <v>2012</v>
      </c>
      <c r="C149" s="2" t="s">
        <v>601</v>
      </c>
      <c r="D149" s="2" t="s">
        <v>4</v>
      </c>
      <c r="E149" s="2" t="s">
        <v>498</v>
      </c>
      <c r="F149" s="2"/>
      <c r="G149" s="2" t="s">
        <v>174</v>
      </c>
      <c r="H149" s="5">
        <v>59</v>
      </c>
      <c r="I149" s="2" t="s">
        <v>180</v>
      </c>
      <c r="J149" s="2" t="s">
        <v>532</v>
      </c>
    </row>
    <row r="150" spans="1:14" ht="15.75" x14ac:dyDescent="0.25">
      <c r="A150" s="2" t="s">
        <v>602</v>
      </c>
      <c r="B150" s="5">
        <v>2012</v>
      </c>
      <c r="C150" s="2" t="s">
        <v>603</v>
      </c>
      <c r="D150" s="2" t="s">
        <v>4</v>
      </c>
      <c r="E150" s="2" t="s">
        <v>506</v>
      </c>
      <c r="F150" s="2"/>
      <c r="G150" s="2" t="s">
        <v>583</v>
      </c>
      <c r="H150" s="5">
        <v>65</v>
      </c>
      <c r="I150" s="2" t="s">
        <v>180</v>
      </c>
      <c r="J150" s="2" t="s">
        <v>532</v>
      </c>
    </row>
    <row r="151" spans="1:14" ht="15.75" x14ac:dyDescent="0.25">
      <c r="A151" s="2" t="s">
        <v>504</v>
      </c>
      <c r="B151" s="5">
        <v>2012</v>
      </c>
      <c r="C151" s="2" t="s">
        <v>604</v>
      </c>
      <c r="D151" s="2" t="s">
        <v>4</v>
      </c>
      <c r="E151" s="2" t="s">
        <v>506</v>
      </c>
      <c r="F151" s="2"/>
      <c r="G151" s="2" t="s">
        <v>174</v>
      </c>
      <c r="H151" s="5">
        <v>103</v>
      </c>
      <c r="I151" s="2" t="s">
        <v>548</v>
      </c>
      <c r="J151" s="2" t="s">
        <v>549</v>
      </c>
    </row>
    <row r="152" spans="1:14" ht="15.75" x14ac:dyDescent="0.25">
      <c r="A152" s="2" t="s">
        <v>605</v>
      </c>
      <c r="B152" s="5">
        <v>2012</v>
      </c>
      <c r="C152" s="2" t="s">
        <v>606</v>
      </c>
      <c r="D152" s="2" t="s">
        <v>4</v>
      </c>
      <c r="E152" s="2" t="s">
        <v>491</v>
      </c>
      <c r="F152" s="2"/>
      <c r="G152" s="2" t="s">
        <v>174</v>
      </c>
      <c r="H152" s="5">
        <v>143</v>
      </c>
      <c r="I152" s="2" t="s">
        <v>527</v>
      </c>
      <c r="J152" s="2" t="s">
        <v>528</v>
      </c>
    </row>
    <row r="153" spans="1:14" ht="15.75" x14ac:dyDescent="0.25">
      <c r="A153" s="2" t="s">
        <v>607</v>
      </c>
      <c r="B153" s="5">
        <v>2013</v>
      </c>
      <c r="C153" s="2" t="s">
        <v>608</v>
      </c>
      <c r="D153" s="2" t="s">
        <v>4</v>
      </c>
      <c r="E153" s="2" t="s">
        <v>506</v>
      </c>
      <c r="F153" s="2"/>
      <c r="G153" s="2" t="s">
        <v>174</v>
      </c>
      <c r="H153" s="5">
        <v>50</v>
      </c>
      <c r="I153" s="2" t="s">
        <v>180</v>
      </c>
      <c r="J153" s="2" t="s">
        <v>532</v>
      </c>
    </row>
    <row r="154" spans="1:14" ht="15.75" x14ac:dyDescent="0.25">
      <c r="A154" s="2" t="s">
        <v>609</v>
      </c>
      <c r="B154" s="5">
        <v>2013</v>
      </c>
      <c r="C154" s="2" t="s">
        <v>610</v>
      </c>
      <c r="D154" s="2" t="s">
        <v>4</v>
      </c>
      <c r="E154" s="2" t="s">
        <v>506</v>
      </c>
      <c r="F154" s="2"/>
      <c r="G154" s="2" t="s">
        <v>258</v>
      </c>
      <c r="H154" s="5">
        <v>186</v>
      </c>
      <c r="I154" s="2" t="s">
        <v>180</v>
      </c>
      <c r="J154" s="2" t="s">
        <v>532</v>
      </c>
    </row>
    <row r="155" spans="1:14" ht="15.75" x14ac:dyDescent="0.25">
      <c r="A155" s="2" t="s">
        <v>589</v>
      </c>
      <c r="B155" s="5">
        <v>2013</v>
      </c>
      <c r="C155" s="2" t="s">
        <v>611</v>
      </c>
      <c r="D155" s="2" t="s">
        <v>4</v>
      </c>
      <c r="E155" s="2" t="s">
        <v>506</v>
      </c>
      <c r="F155" s="2"/>
      <c r="G155" s="2" t="s">
        <v>174</v>
      </c>
      <c r="H155" s="5">
        <v>206</v>
      </c>
      <c r="I155" s="2" t="s">
        <v>598</v>
      </c>
      <c r="J155" s="2" t="s">
        <v>612</v>
      </c>
    </row>
    <row r="156" spans="1:14" ht="15.75" x14ac:dyDescent="0.25">
      <c r="A156" s="2" t="s">
        <v>613</v>
      </c>
      <c r="B156" s="5">
        <v>2014</v>
      </c>
      <c r="C156" s="2" t="s">
        <v>614</v>
      </c>
      <c r="D156" s="2" t="s">
        <v>4</v>
      </c>
      <c r="E156" s="2" t="s">
        <v>558</v>
      </c>
      <c r="F156" s="2"/>
      <c r="G156" s="2" t="s">
        <v>174</v>
      </c>
      <c r="H156" s="5">
        <v>241</v>
      </c>
      <c r="I156" s="2" t="s">
        <v>615</v>
      </c>
      <c r="J156" s="2" t="s">
        <v>616</v>
      </c>
    </row>
    <row r="157" spans="1:14" ht="15.75" x14ac:dyDescent="0.25">
      <c r="H157" s="10" t="s">
        <v>182</v>
      </c>
      <c r="I157" s="11" t="s">
        <v>617</v>
      </c>
      <c r="J157" s="11" t="s">
        <v>618</v>
      </c>
      <c r="K157" s="11" t="s">
        <v>619</v>
      </c>
      <c r="L157" s="11" t="s">
        <v>24</v>
      </c>
      <c r="M157" s="11"/>
      <c r="N157" s="11"/>
    </row>
    <row r="158" spans="1:14" ht="15.75" x14ac:dyDescent="0.25">
      <c r="H158" s="10" t="s">
        <v>181</v>
      </c>
      <c r="I158" s="11" t="s">
        <v>489</v>
      </c>
      <c r="J158" s="11" t="s">
        <v>523</v>
      </c>
      <c r="K158" s="11" t="s">
        <v>224</v>
      </c>
      <c r="L158" s="11" t="s">
        <v>224</v>
      </c>
      <c r="M158" s="11"/>
      <c r="N158" s="11"/>
    </row>
    <row r="159" spans="1:14" ht="15.75" x14ac:dyDescent="0.25">
      <c r="H159" s="10" t="s">
        <v>183</v>
      </c>
      <c r="I159" s="11" t="s">
        <v>522</v>
      </c>
      <c r="J159" s="11" t="s">
        <v>490</v>
      </c>
      <c r="K159" s="11" t="s">
        <v>599</v>
      </c>
      <c r="L159" s="11" t="s">
        <v>224</v>
      </c>
      <c r="M159" s="11"/>
      <c r="N159" s="11"/>
    </row>
    <row r="161" spans="1:15" x14ac:dyDescent="0.25">
      <c r="A161" s="20" t="s">
        <v>5</v>
      </c>
      <c r="B161" s="20" t="s">
        <v>138</v>
      </c>
      <c r="C161" s="20" t="s">
        <v>138</v>
      </c>
      <c r="D161" s="20" t="s">
        <v>138</v>
      </c>
      <c r="E161" s="20" t="s">
        <v>138</v>
      </c>
      <c r="F161" s="20" t="s">
        <v>138</v>
      </c>
      <c r="G161" s="20" t="s">
        <v>138</v>
      </c>
      <c r="H161" s="20" t="s">
        <v>138</v>
      </c>
      <c r="I161" s="20" t="s">
        <v>138</v>
      </c>
      <c r="J161" s="20" t="s">
        <v>138</v>
      </c>
      <c r="K161" s="20" t="s">
        <v>138</v>
      </c>
      <c r="L161" s="20" t="s">
        <v>138</v>
      </c>
      <c r="M161" s="20" t="s">
        <v>138</v>
      </c>
      <c r="N161" s="20" t="s">
        <v>138</v>
      </c>
      <c r="O161" s="19"/>
    </row>
    <row r="162" spans="1:15" ht="15.75" x14ac:dyDescent="0.25">
      <c r="A162" s="2" t="s">
        <v>155</v>
      </c>
      <c r="B162" s="5">
        <v>2003</v>
      </c>
      <c r="C162" s="2" t="s">
        <v>156</v>
      </c>
      <c r="D162" s="2" t="s">
        <v>5</v>
      </c>
      <c r="E162" s="2" t="s">
        <v>620</v>
      </c>
      <c r="F162" s="2" t="s">
        <v>248</v>
      </c>
      <c r="G162" s="2" t="s">
        <v>157</v>
      </c>
      <c r="H162" s="5">
        <v>58</v>
      </c>
      <c r="I162" s="2" t="s">
        <v>621</v>
      </c>
      <c r="J162" s="2" t="s">
        <v>260</v>
      </c>
      <c r="K162" s="2" t="s">
        <v>622</v>
      </c>
    </row>
    <row r="163" spans="1:15" ht="15.75" x14ac:dyDescent="0.25">
      <c r="A163" s="2" t="s">
        <v>542</v>
      </c>
      <c r="B163" s="5">
        <v>2007</v>
      </c>
      <c r="C163" s="2" t="s">
        <v>543</v>
      </c>
      <c r="D163" s="2" t="s">
        <v>5</v>
      </c>
      <c r="E163" s="2" t="s">
        <v>623</v>
      </c>
      <c r="F163" s="2"/>
      <c r="G163" s="2" t="s">
        <v>148</v>
      </c>
      <c r="H163" s="5">
        <v>112</v>
      </c>
      <c r="I163" s="2" t="s">
        <v>259</v>
      </c>
      <c r="J163" s="2" t="s">
        <v>260</v>
      </c>
    </row>
    <row r="164" spans="1:15" ht="15.75" x14ac:dyDescent="0.25">
      <c r="A164" s="2" t="s">
        <v>542</v>
      </c>
      <c r="B164" s="5">
        <v>2007</v>
      </c>
      <c r="C164" s="2" t="s">
        <v>543</v>
      </c>
      <c r="D164" s="2" t="s">
        <v>5</v>
      </c>
      <c r="E164" s="2" t="s">
        <v>624</v>
      </c>
      <c r="F164" s="2"/>
      <c r="G164" s="2" t="s">
        <v>148</v>
      </c>
      <c r="H164" s="5">
        <v>120</v>
      </c>
      <c r="I164" s="2" t="s">
        <v>625</v>
      </c>
      <c r="J164" s="2" t="s">
        <v>626</v>
      </c>
    </row>
    <row r="165" spans="1:15" ht="15.75" x14ac:dyDescent="0.25">
      <c r="A165" s="2" t="s">
        <v>627</v>
      </c>
      <c r="B165" s="5">
        <v>2008</v>
      </c>
      <c r="C165" s="2" t="s">
        <v>628</v>
      </c>
      <c r="D165" s="2" t="s">
        <v>5</v>
      </c>
      <c r="E165" s="2" t="s">
        <v>629</v>
      </c>
      <c r="F165" s="2"/>
      <c r="G165" s="2" t="s">
        <v>148</v>
      </c>
      <c r="H165" s="5">
        <v>317</v>
      </c>
      <c r="I165" s="2" t="s">
        <v>30</v>
      </c>
      <c r="J165" s="2" t="s">
        <v>575</v>
      </c>
    </row>
    <row r="166" spans="1:15" ht="15.75" x14ac:dyDescent="0.25">
      <c r="A166" s="2" t="s">
        <v>630</v>
      </c>
      <c r="B166" s="5">
        <v>2011</v>
      </c>
      <c r="C166" s="2" t="s">
        <v>631</v>
      </c>
      <c r="D166" s="2" t="s">
        <v>5</v>
      </c>
      <c r="E166" s="2" t="s">
        <v>632</v>
      </c>
      <c r="F166" s="2"/>
      <c r="G166" s="2" t="s">
        <v>566</v>
      </c>
      <c r="H166" s="5">
        <v>48</v>
      </c>
      <c r="I166" s="2" t="s">
        <v>437</v>
      </c>
      <c r="J166" s="2" t="s">
        <v>438</v>
      </c>
    </row>
    <row r="167" spans="1:15" ht="15.75" x14ac:dyDescent="0.25">
      <c r="A167" s="2" t="s">
        <v>176</v>
      </c>
      <c r="B167" s="5">
        <v>2012</v>
      </c>
      <c r="C167" s="2" t="s">
        <v>177</v>
      </c>
      <c r="D167" s="2" t="s">
        <v>5</v>
      </c>
      <c r="E167" s="2" t="s">
        <v>633</v>
      </c>
      <c r="F167" s="2" t="s">
        <v>634</v>
      </c>
      <c r="G167" s="2" t="s">
        <v>178</v>
      </c>
      <c r="H167" s="5">
        <v>60</v>
      </c>
      <c r="I167" s="2" t="s">
        <v>635</v>
      </c>
      <c r="J167" s="2" t="s">
        <v>381</v>
      </c>
      <c r="K167" s="2" t="s">
        <v>599</v>
      </c>
      <c r="L167" s="2" t="s">
        <v>24</v>
      </c>
    </row>
    <row r="168" spans="1:15" ht="15.75" x14ac:dyDescent="0.25">
      <c r="A168" s="2" t="s">
        <v>176</v>
      </c>
      <c r="B168" s="5">
        <v>2012</v>
      </c>
      <c r="C168" s="2" t="s">
        <v>177</v>
      </c>
      <c r="D168" s="2" t="s">
        <v>5</v>
      </c>
      <c r="E168" s="2" t="s">
        <v>620</v>
      </c>
      <c r="F168" s="2" t="s">
        <v>248</v>
      </c>
      <c r="G168" s="2" t="s">
        <v>178</v>
      </c>
      <c r="H168" s="5">
        <v>66</v>
      </c>
      <c r="I168" s="2" t="s">
        <v>170</v>
      </c>
      <c r="J168" s="2" t="s">
        <v>276</v>
      </c>
      <c r="K168" s="2" t="s">
        <v>636</v>
      </c>
      <c r="L168" s="2" t="s">
        <v>24</v>
      </c>
    </row>
    <row r="169" spans="1:15" ht="15.75" x14ac:dyDescent="0.25">
      <c r="A169" s="2" t="s">
        <v>176</v>
      </c>
      <c r="B169" s="5">
        <v>2012</v>
      </c>
      <c r="C169" s="2" t="s">
        <v>177</v>
      </c>
      <c r="D169" s="2" t="s">
        <v>5</v>
      </c>
      <c r="E169" s="2" t="s">
        <v>637</v>
      </c>
      <c r="F169" s="2"/>
      <c r="G169" s="2" t="s">
        <v>178</v>
      </c>
      <c r="H169" s="5">
        <v>55</v>
      </c>
      <c r="I169" s="2" t="s">
        <v>380</v>
      </c>
      <c r="J169" s="2" t="s">
        <v>240</v>
      </c>
      <c r="K169" s="2" t="s">
        <v>548</v>
      </c>
      <c r="L169" s="2" t="s">
        <v>24</v>
      </c>
    </row>
    <row r="170" spans="1:15" ht="15.75" x14ac:dyDescent="0.25">
      <c r="A170" s="2" t="s">
        <v>638</v>
      </c>
      <c r="B170" s="5">
        <v>2012</v>
      </c>
      <c r="C170" s="2" t="s">
        <v>639</v>
      </c>
      <c r="D170" s="2" t="s">
        <v>5</v>
      </c>
      <c r="E170" s="2" t="s">
        <v>620</v>
      </c>
      <c r="F170" s="2"/>
      <c r="G170" s="2" t="s">
        <v>174</v>
      </c>
      <c r="H170" s="5">
        <v>291</v>
      </c>
      <c r="I170" s="2" t="s">
        <v>640</v>
      </c>
      <c r="J170" s="2" t="s">
        <v>641</v>
      </c>
    </row>
    <row r="171" spans="1:15" ht="15.75" x14ac:dyDescent="0.25">
      <c r="A171" s="2" t="s">
        <v>642</v>
      </c>
      <c r="B171" s="5">
        <v>2014</v>
      </c>
      <c r="C171" s="2" t="s">
        <v>643</v>
      </c>
      <c r="D171" s="2" t="s">
        <v>5</v>
      </c>
      <c r="E171" s="2" t="s">
        <v>644</v>
      </c>
      <c r="F171" s="2"/>
      <c r="G171" s="2" t="s">
        <v>174</v>
      </c>
      <c r="H171" s="5">
        <v>108</v>
      </c>
      <c r="I171" s="2" t="s">
        <v>232</v>
      </c>
      <c r="J171" s="2" t="s">
        <v>233</v>
      </c>
    </row>
    <row r="172" spans="1:15" ht="15.75" x14ac:dyDescent="0.25">
      <c r="A172" s="2" t="s">
        <v>645</v>
      </c>
      <c r="B172" s="5">
        <v>2014</v>
      </c>
      <c r="C172" s="2" t="s">
        <v>646</v>
      </c>
      <c r="D172" s="2" t="s">
        <v>5</v>
      </c>
      <c r="E172" s="2" t="s">
        <v>644</v>
      </c>
      <c r="F172" s="2"/>
      <c r="G172" s="2" t="s">
        <v>148</v>
      </c>
      <c r="H172" s="5">
        <v>909</v>
      </c>
      <c r="I172" s="2" t="s">
        <v>283</v>
      </c>
      <c r="J172" s="2" t="s">
        <v>641</v>
      </c>
      <c r="K172" s="2" t="s">
        <v>598</v>
      </c>
      <c r="L172" s="2" t="s">
        <v>647</v>
      </c>
    </row>
    <row r="173" spans="1:15" ht="15.75" x14ac:dyDescent="0.25">
      <c r="H173" s="10" t="s">
        <v>182</v>
      </c>
      <c r="I173" s="11" t="s">
        <v>648</v>
      </c>
      <c r="J173" s="11" t="s">
        <v>343</v>
      </c>
      <c r="K173" s="11" t="s">
        <v>649</v>
      </c>
      <c r="L173" s="11" t="s">
        <v>650</v>
      </c>
      <c r="M173" s="11"/>
      <c r="N173" s="11"/>
    </row>
    <row r="174" spans="1:15" ht="15.75" x14ac:dyDescent="0.25">
      <c r="H174" s="10" t="s">
        <v>181</v>
      </c>
      <c r="I174" s="11" t="s">
        <v>437</v>
      </c>
      <c r="J174" s="11" t="s">
        <v>641</v>
      </c>
      <c r="K174" s="11" t="s">
        <v>599</v>
      </c>
      <c r="L174" s="11" t="s">
        <v>224</v>
      </c>
      <c r="M174" s="11"/>
      <c r="N174" s="11"/>
    </row>
    <row r="175" spans="1:15" ht="15.75" x14ac:dyDescent="0.25">
      <c r="H175" s="10" t="s">
        <v>183</v>
      </c>
      <c r="I175" s="11" t="s">
        <v>640</v>
      </c>
      <c r="J175" s="11" t="s">
        <v>438</v>
      </c>
      <c r="K175" s="11" t="s">
        <v>548</v>
      </c>
      <c r="L175" s="11" t="s">
        <v>647</v>
      </c>
      <c r="M175" s="11"/>
      <c r="N175" s="11"/>
    </row>
    <row r="177" spans="1:15" x14ac:dyDescent="0.25">
      <c r="A177" s="20" t="s">
        <v>6</v>
      </c>
      <c r="B177" s="20" t="s">
        <v>138</v>
      </c>
      <c r="C177" s="20" t="s">
        <v>138</v>
      </c>
      <c r="D177" s="20" t="s">
        <v>138</v>
      </c>
      <c r="E177" s="20" t="s">
        <v>138</v>
      </c>
      <c r="F177" s="20" t="s">
        <v>138</v>
      </c>
      <c r="G177" s="20" t="s">
        <v>138</v>
      </c>
      <c r="H177" s="20" t="s">
        <v>138</v>
      </c>
      <c r="I177" s="20" t="s">
        <v>138</v>
      </c>
      <c r="J177" s="20" t="s">
        <v>138</v>
      </c>
      <c r="K177" s="20" t="s">
        <v>138</v>
      </c>
      <c r="L177" s="20" t="s">
        <v>138</v>
      </c>
      <c r="M177" s="20" t="s">
        <v>138</v>
      </c>
      <c r="N177" s="20" t="s">
        <v>138</v>
      </c>
      <c r="O177" s="19"/>
    </row>
    <row r="178" spans="1:15" ht="15.75" x14ac:dyDescent="0.25">
      <c r="A178" s="2" t="s">
        <v>519</v>
      </c>
      <c r="B178" s="5">
        <v>2006</v>
      </c>
      <c r="C178" s="2" t="s">
        <v>520</v>
      </c>
      <c r="D178" s="2" t="s">
        <v>6</v>
      </c>
      <c r="E178" s="2" t="s">
        <v>651</v>
      </c>
      <c r="F178" s="2"/>
      <c r="G178" s="2" t="s">
        <v>148</v>
      </c>
      <c r="H178" s="5">
        <v>36</v>
      </c>
      <c r="I178" s="2" t="s">
        <v>283</v>
      </c>
      <c r="J178" s="2" t="s">
        <v>284</v>
      </c>
    </row>
    <row r="179" spans="1:15" ht="15.75" x14ac:dyDescent="0.25">
      <c r="A179" s="2" t="s">
        <v>652</v>
      </c>
      <c r="B179" s="5">
        <v>2011</v>
      </c>
      <c r="C179" s="2" t="s">
        <v>653</v>
      </c>
      <c r="D179" s="2" t="s">
        <v>6</v>
      </c>
      <c r="E179" s="2" t="s">
        <v>654</v>
      </c>
      <c r="F179" s="2"/>
      <c r="G179" s="2" t="s">
        <v>142</v>
      </c>
      <c r="H179" s="5">
        <v>112</v>
      </c>
      <c r="I179" s="2" t="s">
        <v>635</v>
      </c>
      <c r="J179" s="2" t="s">
        <v>655</v>
      </c>
    </row>
    <row r="180" spans="1:15" ht="15.75" x14ac:dyDescent="0.25">
      <c r="A180" s="2" t="s">
        <v>656</v>
      </c>
      <c r="B180" s="5">
        <v>2012</v>
      </c>
      <c r="C180" s="2" t="s">
        <v>657</v>
      </c>
      <c r="D180" s="2" t="s">
        <v>6</v>
      </c>
      <c r="E180" s="2" t="s">
        <v>658</v>
      </c>
      <c r="F180" s="2"/>
      <c r="G180" s="2" t="s">
        <v>659</v>
      </c>
      <c r="H180" s="5">
        <v>108</v>
      </c>
      <c r="I180" s="2" t="s">
        <v>660</v>
      </c>
      <c r="J180" s="2" t="s">
        <v>661</v>
      </c>
    </row>
    <row r="181" spans="1:15" ht="15.75" x14ac:dyDescent="0.25">
      <c r="A181" s="2" t="s">
        <v>662</v>
      </c>
      <c r="B181" s="5">
        <v>2012</v>
      </c>
      <c r="C181" s="2" t="s">
        <v>663</v>
      </c>
      <c r="D181" s="2" t="s">
        <v>6</v>
      </c>
      <c r="E181" s="2" t="s">
        <v>654</v>
      </c>
      <c r="F181" s="2"/>
      <c r="G181" s="2" t="s">
        <v>258</v>
      </c>
      <c r="H181" s="5">
        <v>100</v>
      </c>
      <c r="I181" s="2" t="s">
        <v>664</v>
      </c>
      <c r="J181" s="2" t="s">
        <v>665</v>
      </c>
    </row>
    <row r="182" spans="1:15" ht="15.75" x14ac:dyDescent="0.25">
      <c r="A182" s="2" t="s">
        <v>666</v>
      </c>
      <c r="B182" s="5">
        <v>2012</v>
      </c>
      <c r="C182" s="2" t="s">
        <v>667</v>
      </c>
      <c r="D182" s="2" t="s">
        <v>6</v>
      </c>
      <c r="E182" s="2" t="s">
        <v>668</v>
      </c>
      <c r="F182" s="2"/>
      <c r="G182" s="2" t="s">
        <v>148</v>
      </c>
      <c r="H182" s="5">
        <v>591</v>
      </c>
      <c r="I182" s="2" t="s">
        <v>578</v>
      </c>
      <c r="J182" s="2" t="s">
        <v>669</v>
      </c>
      <c r="K182" s="2" t="s">
        <v>670</v>
      </c>
      <c r="L182" s="2" t="s">
        <v>24</v>
      </c>
    </row>
    <row r="183" spans="1:15" ht="15.75" x14ac:dyDescent="0.25">
      <c r="A183" s="2" t="s">
        <v>671</v>
      </c>
      <c r="B183" s="5">
        <v>2012</v>
      </c>
      <c r="C183" s="2" t="s">
        <v>672</v>
      </c>
      <c r="D183" s="2" t="s">
        <v>6</v>
      </c>
      <c r="E183" s="2" t="s">
        <v>668</v>
      </c>
      <c r="F183" s="2"/>
      <c r="G183" s="2" t="s">
        <v>148</v>
      </c>
      <c r="H183" s="5">
        <v>229</v>
      </c>
      <c r="I183" s="2" t="s">
        <v>338</v>
      </c>
      <c r="J183" s="2" t="s">
        <v>339</v>
      </c>
    </row>
    <row r="184" spans="1:15" ht="15.75" x14ac:dyDescent="0.25">
      <c r="A184" s="2" t="s">
        <v>673</v>
      </c>
      <c r="B184" s="5">
        <v>2013</v>
      </c>
      <c r="C184" s="2" t="s">
        <v>674</v>
      </c>
      <c r="D184" s="2" t="s">
        <v>6</v>
      </c>
      <c r="E184" s="2" t="s">
        <v>675</v>
      </c>
      <c r="F184" s="2" t="s">
        <v>676</v>
      </c>
      <c r="G184" s="2" t="s">
        <v>148</v>
      </c>
      <c r="H184" s="5">
        <v>161</v>
      </c>
      <c r="I184" s="2" t="s">
        <v>483</v>
      </c>
      <c r="J184" s="2" t="s">
        <v>381</v>
      </c>
      <c r="K184" s="2" t="s">
        <v>548</v>
      </c>
      <c r="L184" s="2" t="s">
        <v>599</v>
      </c>
    </row>
    <row r="185" spans="1:15" ht="15.75" x14ac:dyDescent="0.25">
      <c r="A185" s="2" t="s">
        <v>673</v>
      </c>
      <c r="B185" s="5">
        <v>2013</v>
      </c>
      <c r="C185" s="2" t="s">
        <v>674</v>
      </c>
      <c r="D185" s="2" t="s">
        <v>6</v>
      </c>
      <c r="E185" s="2" t="s">
        <v>677</v>
      </c>
      <c r="F185" s="2" t="s">
        <v>678</v>
      </c>
      <c r="G185" s="2" t="s">
        <v>148</v>
      </c>
      <c r="H185" s="5">
        <v>100</v>
      </c>
      <c r="I185" s="2" t="s">
        <v>548</v>
      </c>
      <c r="J185" s="2" t="s">
        <v>549</v>
      </c>
      <c r="K185" s="2" t="s">
        <v>24</v>
      </c>
      <c r="L185" s="2" t="s">
        <v>24</v>
      </c>
    </row>
    <row r="186" spans="1:15" ht="15.75" x14ac:dyDescent="0.25">
      <c r="A186" s="2" t="s">
        <v>673</v>
      </c>
      <c r="B186" s="5">
        <v>2013</v>
      </c>
      <c r="C186" s="2" t="s">
        <v>674</v>
      </c>
      <c r="D186" s="2" t="s">
        <v>6</v>
      </c>
      <c r="E186" s="2" t="s">
        <v>658</v>
      </c>
      <c r="F186" s="2" t="s">
        <v>679</v>
      </c>
      <c r="G186" s="2" t="s">
        <v>148</v>
      </c>
      <c r="H186" s="5">
        <v>86</v>
      </c>
      <c r="I186" s="2" t="s">
        <v>680</v>
      </c>
      <c r="J186" s="2" t="s">
        <v>284</v>
      </c>
      <c r="K186" s="2" t="s">
        <v>598</v>
      </c>
      <c r="L186" s="2" t="s">
        <v>599</v>
      </c>
    </row>
    <row r="187" spans="1:15" ht="15.75" x14ac:dyDescent="0.25">
      <c r="A187" s="2" t="s">
        <v>673</v>
      </c>
      <c r="B187" s="5">
        <v>2013</v>
      </c>
      <c r="C187" s="2" t="s">
        <v>674</v>
      </c>
      <c r="D187" s="2" t="s">
        <v>6</v>
      </c>
      <c r="E187" s="2" t="s">
        <v>681</v>
      </c>
      <c r="F187" s="2" t="s">
        <v>682</v>
      </c>
      <c r="G187" s="2" t="s">
        <v>148</v>
      </c>
      <c r="H187" s="5">
        <v>30</v>
      </c>
      <c r="I187" s="2" t="s">
        <v>683</v>
      </c>
      <c r="J187" s="2" t="s">
        <v>143</v>
      </c>
      <c r="K187" s="2" t="s">
        <v>283</v>
      </c>
      <c r="L187" s="2" t="s">
        <v>636</v>
      </c>
    </row>
    <row r="188" spans="1:15" ht="15.75" x14ac:dyDescent="0.25">
      <c r="A188" s="2" t="s">
        <v>673</v>
      </c>
      <c r="B188" s="5">
        <v>2013</v>
      </c>
      <c r="C188" s="2" t="s">
        <v>674</v>
      </c>
      <c r="D188" s="2" t="s">
        <v>6</v>
      </c>
      <c r="E188" s="2" t="s">
        <v>681</v>
      </c>
      <c r="F188" s="2" t="s">
        <v>684</v>
      </c>
      <c r="G188" s="2" t="s">
        <v>148</v>
      </c>
      <c r="H188" s="5">
        <v>136</v>
      </c>
      <c r="I188" s="2" t="s">
        <v>245</v>
      </c>
      <c r="J188" s="2" t="s">
        <v>163</v>
      </c>
      <c r="K188" s="2" t="s">
        <v>567</v>
      </c>
      <c r="L188" s="2" t="s">
        <v>24</v>
      </c>
    </row>
    <row r="189" spans="1:15" ht="15.75" x14ac:dyDescent="0.25">
      <c r="A189" s="2" t="s">
        <v>673</v>
      </c>
      <c r="B189" s="5">
        <v>2013</v>
      </c>
      <c r="C189" s="2" t="s">
        <v>674</v>
      </c>
      <c r="D189" s="2" t="s">
        <v>6</v>
      </c>
      <c r="E189" s="2" t="s">
        <v>685</v>
      </c>
      <c r="F189" s="2" t="s">
        <v>686</v>
      </c>
      <c r="G189" s="2" t="s">
        <v>148</v>
      </c>
      <c r="H189" s="5">
        <v>74</v>
      </c>
      <c r="I189" s="2" t="s">
        <v>507</v>
      </c>
      <c r="J189" s="2" t="s">
        <v>508</v>
      </c>
      <c r="K189" s="2" t="s">
        <v>24</v>
      </c>
      <c r="L189" s="2" t="s">
        <v>24</v>
      </c>
    </row>
    <row r="190" spans="1:15" ht="15.75" x14ac:dyDescent="0.25">
      <c r="A190" s="2" t="s">
        <v>673</v>
      </c>
      <c r="B190" s="5">
        <v>2013</v>
      </c>
      <c r="C190" s="2" t="s">
        <v>674</v>
      </c>
      <c r="D190" s="2" t="s">
        <v>6</v>
      </c>
      <c r="E190" s="2" t="s">
        <v>687</v>
      </c>
      <c r="F190" s="2" t="s">
        <v>688</v>
      </c>
      <c r="G190" s="2" t="s">
        <v>148</v>
      </c>
      <c r="H190" s="5">
        <v>82</v>
      </c>
      <c r="I190" s="2" t="s">
        <v>567</v>
      </c>
      <c r="J190" s="2" t="s">
        <v>689</v>
      </c>
      <c r="K190" s="2" t="s">
        <v>647</v>
      </c>
      <c r="L190" s="2" t="s">
        <v>599</v>
      </c>
    </row>
    <row r="191" spans="1:15" ht="15.75" x14ac:dyDescent="0.25">
      <c r="A191" s="2" t="s">
        <v>673</v>
      </c>
      <c r="B191" s="5">
        <v>2013</v>
      </c>
      <c r="C191" s="2" t="s">
        <v>674</v>
      </c>
      <c r="D191" s="2" t="s">
        <v>6</v>
      </c>
      <c r="E191" s="2" t="s">
        <v>687</v>
      </c>
      <c r="F191" s="2" t="s">
        <v>690</v>
      </c>
      <c r="G191" s="2" t="s">
        <v>148</v>
      </c>
      <c r="H191" s="5">
        <v>37</v>
      </c>
      <c r="I191" s="2" t="s">
        <v>640</v>
      </c>
      <c r="J191" s="2" t="s">
        <v>691</v>
      </c>
      <c r="K191" s="2" t="s">
        <v>30</v>
      </c>
      <c r="L191" s="2" t="s">
        <v>647</v>
      </c>
    </row>
    <row r="192" spans="1:15" ht="15.75" x14ac:dyDescent="0.25">
      <c r="A192" s="2" t="s">
        <v>692</v>
      </c>
      <c r="B192" s="5">
        <v>2013</v>
      </c>
      <c r="C192" s="2" t="s">
        <v>693</v>
      </c>
      <c r="D192" s="2" t="s">
        <v>6</v>
      </c>
      <c r="E192" s="2" t="s">
        <v>668</v>
      </c>
      <c r="F192" s="2"/>
      <c r="G192" s="2" t="s">
        <v>566</v>
      </c>
      <c r="H192" s="5">
        <v>38</v>
      </c>
      <c r="I192" s="2" t="s">
        <v>694</v>
      </c>
      <c r="J192" s="2" t="s">
        <v>695</v>
      </c>
    </row>
    <row r="193" spans="1:15" ht="15.75" x14ac:dyDescent="0.25">
      <c r="A193" s="2" t="s">
        <v>696</v>
      </c>
      <c r="B193" s="5">
        <v>2013</v>
      </c>
      <c r="C193" s="2" t="s">
        <v>697</v>
      </c>
      <c r="D193" s="2" t="s">
        <v>6</v>
      </c>
      <c r="E193" s="2" t="s">
        <v>668</v>
      </c>
      <c r="F193" s="2"/>
      <c r="G193" s="2" t="s">
        <v>566</v>
      </c>
      <c r="H193" s="5">
        <v>38</v>
      </c>
      <c r="I193" s="2" t="s">
        <v>483</v>
      </c>
      <c r="J193" s="2" t="s">
        <v>484</v>
      </c>
    </row>
    <row r="194" spans="1:15" ht="15.75" x14ac:dyDescent="0.25">
      <c r="H194" s="10" t="s">
        <v>182</v>
      </c>
      <c r="I194" s="11" t="s">
        <v>698</v>
      </c>
      <c r="J194" s="11" t="s">
        <v>699</v>
      </c>
      <c r="K194" s="11" t="s">
        <v>700</v>
      </c>
      <c r="L194" s="11" t="s">
        <v>701</v>
      </c>
      <c r="M194" s="11"/>
      <c r="N194" s="11"/>
    </row>
    <row r="195" spans="1:15" ht="15.75" x14ac:dyDescent="0.25">
      <c r="H195" s="10" t="s">
        <v>181</v>
      </c>
      <c r="I195" s="11" t="s">
        <v>664</v>
      </c>
      <c r="J195" s="11" t="s">
        <v>143</v>
      </c>
      <c r="K195" s="11" t="s">
        <v>224</v>
      </c>
      <c r="L195" s="11" t="s">
        <v>224</v>
      </c>
      <c r="M195" s="11"/>
      <c r="N195" s="11"/>
    </row>
    <row r="196" spans="1:15" ht="15.75" x14ac:dyDescent="0.25">
      <c r="H196" s="10" t="s">
        <v>183</v>
      </c>
      <c r="I196" s="11" t="s">
        <v>683</v>
      </c>
      <c r="J196" s="11" t="s">
        <v>665</v>
      </c>
      <c r="K196" s="11" t="s">
        <v>283</v>
      </c>
      <c r="L196" s="11" t="s">
        <v>647</v>
      </c>
      <c r="M196" s="11"/>
      <c r="N196" s="11"/>
    </row>
    <row r="198" spans="1:15" x14ac:dyDescent="0.25">
      <c r="A198" s="20" t="s">
        <v>7</v>
      </c>
      <c r="B198" s="20" t="s">
        <v>138</v>
      </c>
      <c r="C198" s="20" t="s">
        <v>138</v>
      </c>
      <c r="D198" s="20" t="s">
        <v>138</v>
      </c>
      <c r="E198" s="20" t="s">
        <v>138</v>
      </c>
      <c r="F198" s="20" t="s">
        <v>138</v>
      </c>
      <c r="G198" s="20" t="s">
        <v>138</v>
      </c>
      <c r="H198" s="20" t="s">
        <v>138</v>
      </c>
      <c r="I198" s="20" t="s">
        <v>138</v>
      </c>
      <c r="J198" s="20" t="s">
        <v>138</v>
      </c>
      <c r="K198" s="20" t="s">
        <v>138</v>
      </c>
      <c r="L198" s="20" t="s">
        <v>138</v>
      </c>
      <c r="M198" s="20" t="s">
        <v>138</v>
      </c>
      <c r="N198" s="20" t="s">
        <v>138</v>
      </c>
      <c r="O198" s="19"/>
    </row>
    <row r="199" spans="1:15" ht="15.75" x14ac:dyDescent="0.25">
      <c r="A199" s="2" t="s">
        <v>155</v>
      </c>
      <c r="B199" s="5">
        <v>2003</v>
      </c>
      <c r="C199" s="2" t="s">
        <v>156</v>
      </c>
      <c r="D199" s="2" t="s">
        <v>7</v>
      </c>
      <c r="E199" s="2" t="s">
        <v>702</v>
      </c>
      <c r="F199" s="2" t="s">
        <v>703</v>
      </c>
      <c r="G199" s="2" t="s">
        <v>157</v>
      </c>
      <c r="H199" s="5">
        <v>110</v>
      </c>
      <c r="I199" s="2" t="s">
        <v>704</v>
      </c>
      <c r="J199" s="2" t="s">
        <v>705</v>
      </c>
      <c r="K199" s="2" t="s">
        <v>706</v>
      </c>
    </row>
    <row r="200" spans="1:15" ht="15.75" x14ac:dyDescent="0.25">
      <c r="A200" s="2" t="s">
        <v>155</v>
      </c>
      <c r="B200" s="5">
        <v>2003</v>
      </c>
      <c r="C200" s="2" t="s">
        <v>156</v>
      </c>
      <c r="D200" s="2" t="s">
        <v>7</v>
      </c>
      <c r="E200" s="2" t="s">
        <v>702</v>
      </c>
      <c r="F200" s="2" t="s">
        <v>707</v>
      </c>
      <c r="G200" s="2" t="s">
        <v>157</v>
      </c>
      <c r="H200" s="5">
        <v>156</v>
      </c>
      <c r="I200" s="2" t="s">
        <v>708</v>
      </c>
      <c r="J200" s="2" t="s">
        <v>709</v>
      </c>
      <c r="K200" s="2" t="s">
        <v>335</v>
      </c>
    </row>
    <row r="201" spans="1:15" ht="15.75" x14ac:dyDescent="0.25">
      <c r="A201" s="2" t="s">
        <v>155</v>
      </c>
      <c r="B201" s="5">
        <v>2003</v>
      </c>
      <c r="C201" s="2" t="s">
        <v>156</v>
      </c>
      <c r="D201" s="2" t="s">
        <v>7</v>
      </c>
      <c r="E201" s="2" t="s">
        <v>710</v>
      </c>
      <c r="F201" s="2" t="s">
        <v>711</v>
      </c>
      <c r="G201" s="2" t="s">
        <v>157</v>
      </c>
      <c r="H201" s="5">
        <v>147</v>
      </c>
      <c r="I201" s="2" t="s">
        <v>712</v>
      </c>
      <c r="J201" s="2" t="s">
        <v>595</v>
      </c>
      <c r="K201" s="2" t="s">
        <v>713</v>
      </c>
    </row>
    <row r="202" spans="1:15" ht="15.75" x14ac:dyDescent="0.25">
      <c r="A202" s="2" t="s">
        <v>514</v>
      </c>
      <c r="B202" s="5">
        <v>2006</v>
      </c>
      <c r="C202" s="2" t="s">
        <v>515</v>
      </c>
      <c r="D202" s="2" t="s">
        <v>7</v>
      </c>
      <c r="E202" s="2" t="s">
        <v>714</v>
      </c>
      <c r="F202" s="2"/>
      <c r="G202" s="2" t="s">
        <v>148</v>
      </c>
      <c r="H202" s="5">
        <v>144</v>
      </c>
      <c r="I202" s="2" t="s">
        <v>381</v>
      </c>
      <c r="J202" s="2" t="s">
        <v>380</v>
      </c>
    </row>
    <row r="203" spans="1:15" ht="15.75" x14ac:dyDescent="0.25">
      <c r="A203" s="2" t="s">
        <v>519</v>
      </c>
      <c r="B203" s="5">
        <v>2006</v>
      </c>
      <c r="C203" s="2" t="s">
        <v>520</v>
      </c>
      <c r="D203" s="2" t="s">
        <v>7</v>
      </c>
      <c r="E203" s="2" t="s">
        <v>715</v>
      </c>
      <c r="F203" s="2"/>
      <c r="G203" s="2" t="s">
        <v>148</v>
      </c>
      <c r="H203" s="5">
        <v>36</v>
      </c>
      <c r="I203" s="2" t="s">
        <v>716</v>
      </c>
      <c r="J203" s="2" t="s">
        <v>717</v>
      </c>
    </row>
    <row r="204" spans="1:15" ht="15.75" x14ac:dyDescent="0.25">
      <c r="A204" s="2" t="s">
        <v>718</v>
      </c>
      <c r="B204" s="5">
        <v>2009</v>
      </c>
      <c r="C204" s="2" t="s">
        <v>719</v>
      </c>
      <c r="D204" s="2" t="s">
        <v>7</v>
      </c>
      <c r="E204" s="2" t="s">
        <v>720</v>
      </c>
      <c r="F204" s="2"/>
      <c r="G204" s="2" t="s">
        <v>142</v>
      </c>
      <c r="H204" s="5">
        <v>102</v>
      </c>
      <c r="I204" s="2" t="s">
        <v>318</v>
      </c>
      <c r="J204" s="2" t="s">
        <v>317</v>
      </c>
    </row>
    <row r="205" spans="1:15" ht="15.75" x14ac:dyDescent="0.25">
      <c r="A205" s="2" t="s">
        <v>718</v>
      </c>
      <c r="B205" s="5">
        <v>2009</v>
      </c>
      <c r="C205" s="2" t="s">
        <v>719</v>
      </c>
      <c r="D205" s="2" t="s">
        <v>7</v>
      </c>
      <c r="E205" s="2" t="s">
        <v>721</v>
      </c>
      <c r="F205" s="2"/>
      <c r="G205" s="2" t="s">
        <v>142</v>
      </c>
      <c r="H205" s="5">
        <v>103</v>
      </c>
      <c r="I205" s="2" t="s">
        <v>722</v>
      </c>
      <c r="J205" s="2" t="s">
        <v>723</v>
      </c>
    </row>
    <row r="206" spans="1:15" ht="15.75" x14ac:dyDescent="0.25">
      <c r="A206" s="2" t="s">
        <v>718</v>
      </c>
      <c r="B206" s="5">
        <v>2009</v>
      </c>
      <c r="C206" s="2" t="s">
        <v>719</v>
      </c>
      <c r="D206" s="2" t="s">
        <v>7</v>
      </c>
      <c r="E206" s="2" t="s">
        <v>724</v>
      </c>
      <c r="F206" s="2"/>
      <c r="G206" s="2" t="s">
        <v>142</v>
      </c>
      <c r="H206" s="5">
        <v>102</v>
      </c>
      <c r="I206" s="2" t="s">
        <v>725</v>
      </c>
      <c r="J206" s="2" t="s">
        <v>726</v>
      </c>
    </row>
    <row r="207" spans="1:15" ht="15.75" x14ac:dyDescent="0.25">
      <c r="A207" s="2" t="s">
        <v>727</v>
      </c>
      <c r="B207" s="5">
        <v>2010</v>
      </c>
      <c r="C207" s="2" t="s">
        <v>728</v>
      </c>
      <c r="D207" s="2" t="s">
        <v>7</v>
      </c>
      <c r="E207" s="2" t="s">
        <v>729</v>
      </c>
      <c r="F207" s="2"/>
      <c r="G207" s="2" t="s">
        <v>148</v>
      </c>
      <c r="H207" s="5">
        <v>204</v>
      </c>
      <c r="I207" s="2" t="s">
        <v>346</v>
      </c>
      <c r="J207" s="2" t="s">
        <v>680</v>
      </c>
      <c r="K207" s="2" t="s">
        <v>171</v>
      </c>
    </row>
    <row r="208" spans="1:15" ht="15.75" x14ac:dyDescent="0.25">
      <c r="A208" s="2" t="s">
        <v>730</v>
      </c>
      <c r="B208" s="5">
        <v>2011</v>
      </c>
      <c r="C208" s="2" t="s">
        <v>731</v>
      </c>
      <c r="D208" s="2" t="s">
        <v>7</v>
      </c>
      <c r="E208" s="2" t="s">
        <v>732</v>
      </c>
      <c r="F208" s="2" t="s">
        <v>733</v>
      </c>
      <c r="G208" s="2" t="s">
        <v>734</v>
      </c>
      <c r="H208" s="5">
        <v>980</v>
      </c>
      <c r="I208" s="2" t="s">
        <v>689</v>
      </c>
      <c r="J208" s="2" t="s">
        <v>680</v>
      </c>
    </row>
    <row r="209" spans="1:12" ht="15.75" x14ac:dyDescent="0.25">
      <c r="A209" s="2" t="s">
        <v>735</v>
      </c>
      <c r="B209" s="5">
        <v>2011</v>
      </c>
      <c r="C209" s="2" t="s">
        <v>736</v>
      </c>
      <c r="D209" s="2" t="s">
        <v>7</v>
      </c>
      <c r="E209" s="2" t="s">
        <v>737</v>
      </c>
      <c r="F209" s="2"/>
      <c r="G209" s="2" t="s">
        <v>148</v>
      </c>
      <c r="H209" s="5">
        <v>150</v>
      </c>
      <c r="I209" s="2" t="s">
        <v>222</v>
      </c>
      <c r="J209" s="2" t="s">
        <v>223</v>
      </c>
    </row>
    <row r="210" spans="1:12" ht="15.75" x14ac:dyDescent="0.25">
      <c r="A210" s="2" t="s">
        <v>176</v>
      </c>
      <c r="B210" s="5">
        <v>2012</v>
      </c>
      <c r="C210" s="2" t="s">
        <v>177</v>
      </c>
      <c r="D210" s="2" t="s">
        <v>7</v>
      </c>
      <c r="E210" s="2" t="s">
        <v>702</v>
      </c>
      <c r="F210" s="2" t="s">
        <v>703</v>
      </c>
      <c r="G210" s="2" t="s">
        <v>178</v>
      </c>
      <c r="H210" s="5">
        <v>97</v>
      </c>
      <c r="I210" s="2" t="s">
        <v>738</v>
      </c>
      <c r="J210" s="2" t="s">
        <v>30</v>
      </c>
      <c r="K210" s="2" t="s">
        <v>739</v>
      </c>
      <c r="L210" s="2" t="s">
        <v>30</v>
      </c>
    </row>
    <row r="211" spans="1:12" ht="15.75" x14ac:dyDescent="0.25">
      <c r="A211" s="2" t="s">
        <v>176</v>
      </c>
      <c r="B211" s="5">
        <v>2012</v>
      </c>
      <c r="C211" s="2" t="s">
        <v>177</v>
      </c>
      <c r="D211" s="2" t="s">
        <v>7</v>
      </c>
      <c r="E211" s="2" t="s">
        <v>710</v>
      </c>
      <c r="F211" s="2" t="s">
        <v>711</v>
      </c>
      <c r="G211" s="2" t="s">
        <v>178</v>
      </c>
      <c r="H211" s="5">
        <v>88</v>
      </c>
      <c r="I211" s="2" t="s">
        <v>153</v>
      </c>
      <c r="J211" s="2" t="s">
        <v>487</v>
      </c>
      <c r="K211" s="2" t="s">
        <v>487</v>
      </c>
      <c r="L211" s="2" t="s">
        <v>171</v>
      </c>
    </row>
    <row r="212" spans="1:12" ht="15.75" x14ac:dyDescent="0.25">
      <c r="A212" s="2" t="s">
        <v>673</v>
      </c>
      <c r="B212" s="5">
        <v>2013</v>
      </c>
      <c r="C212" s="2" t="s">
        <v>674</v>
      </c>
      <c r="D212" s="2" t="s">
        <v>7</v>
      </c>
      <c r="E212" s="2" t="s">
        <v>740</v>
      </c>
      <c r="F212" s="2" t="s">
        <v>741</v>
      </c>
      <c r="G212" s="2" t="s">
        <v>148</v>
      </c>
      <c r="H212" s="5">
        <v>40</v>
      </c>
      <c r="I212" s="2" t="s">
        <v>143</v>
      </c>
      <c r="J212" s="2" t="s">
        <v>640</v>
      </c>
      <c r="K212" s="2" t="s">
        <v>164</v>
      </c>
      <c r="L212" s="2" t="s">
        <v>548</v>
      </c>
    </row>
    <row r="213" spans="1:12" ht="15.75" x14ac:dyDescent="0.25">
      <c r="A213" s="2" t="s">
        <v>673</v>
      </c>
      <c r="B213" s="5">
        <v>2013</v>
      </c>
      <c r="C213" s="2" t="s">
        <v>674</v>
      </c>
      <c r="D213" s="2" t="s">
        <v>7</v>
      </c>
      <c r="E213" s="2" t="s">
        <v>740</v>
      </c>
      <c r="F213" s="2" t="s">
        <v>742</v>
      </c>
      <c r="G213" s="2" t="s">
        <v>148</v>
      </c>
      <c r="H213" s="5">
        <v>117</v>
      </c>
      <c r="I213" s="2" t="s">
        <v>743</v>
      </c>
      <c r="J213" s="2" t="s">
        <v>640</v>
      </c>
      <c r="K213" s="2" t="s">
        <v>739</v>
      </c>
      <c r="L213" s="2" t="s">
        <v>560</v>
      </c>
    </row>
    <row r="214" spans="1:12" ht="15.75" x14ac:dyDescent="0.25">
      <c r="A214" s="2" t="s">
        <v>673</v>
      </c>
      <c r="B214" s="5">
        <v>2013</v>
      </c>
      <c r="C214" s="2" t="s">
        <v>674</v>
      </c>
      <c r="D214" s="2" t="s">
        <v>7</v>
      </c>
      <c r="E214" s="2" t="s">
        <v>740</v>
      </c>
      <c r="F214" s="2" t="s">
        <v>744</v>
      </c>
      <c r="G214" s="2" t="s">
        <v>148</v>
      </c>
      <c r="H214" s="5">
        <v>69</v>
      </c>
      <c r="I214" s="2" t="s">
        <v>309</v>
      </c>
      <c r="J214" s="2" t="s">
        <v>745</v>
      </c>
      <c r="K214" s="2" t="s">
        <v>746</v>
      </c>
      <c r="L214" s="2" t="s">
        <v>517</v>
      </c>
    </row>
    <row r="215" spans="1:12" ht="15.75" x14ac:dyDescent="0.25">
      <c r="A215" s="2" t="s">
        <v>673</v>
      </c>
      <c r="B215" s="5">
        <v>2013</v>
      </c>
      <c r="C215" s="2" t="s">
        <v>674</v>
      </c>
      <c r="D215" s="2" t="s">
        <v>7</v>
      </c>
      <c r="E215" s="2" t="s">
        <v>740</v>
      </c>
      <c r="F215" s="2" t="s">
        <v>747</v>
      </c>
      <c r="G215" s="2" t="s">
        <v>148</v>
      </c>
      <c r="H215" s="5">
        <v>65</v>
      </c>
      <c r="I215" s="2" t="s">
        <v>748</v>
      </c>
      <c r="J215" s="2" t="s">
        <v>164</v>
      </c>
      <c r="K215" s="2" t="s">
        <v>635</v>
      </c>
      <c r="L215" s="2" t="s">
        <v>437</v>
      </c>
    </row>
    <row r="216" spans="1:12" ht="15.75" x14ac:dyDescent="0.25">
      <c r="A216" s="2" t="s">
        <v>673</v>
      </c>
      <c r="B216" s="5">
        <v>2013</v>
      </c>
      <c r="C216" s="2" t="s">
        <v>674</v>
      </c>
      <c r="D216" s="2" t="s">
        <v>7</v>
      </c>
      <c r="E216" s="2" t="s">
        <v>749</v>
      </c>
      <c r="F216" s="2" t="s">
        <v>750</v>
      </c>
      <c r="G216" s="2" t="s">
        <v>148</v>
      </c>
      <c r="H216" s="5">
        <v>55</v>
      </c>
      <c r="I216" s="2" t="s">
        <v>191</v>
      </c>
      <c r="J216" s="2" t="s">
        <v>283</v>
      </c>
      <c r="K216" s="2" t="s">
        <v>30</v>
      </c>
      <c r="L216" s="2" t="s">
        <v>507</v>
      </c>
    </row>
    <row r="217" spans="1:12" ht="15.75" x14ac:dyDescent="0.25">
      <c r="A217" s="2" t="s">
        <v>673</v>
      </c>
      <c r="B217" s="5">
        <v>2013</v>
      </c>
      <c r="C217" s="2" t="s">
        <v>674</v>
      </c>
      <c r="D217" s="2" t="s">
        <v>7</v>
      </c>
      <c r="E217" s="2" t="s">
        <v>737</v>
      </c>
      <c r="F217" s="2" t="s">
        <v>751</v>
      </c>
      <c r="G217" s="2" t="s">
        <v>148</v>
      </c>
      <c r="H217" s="5">
        <v>73</v>
      </c>
      <c r="I217" s="2" t="s">
        <v>165</v>
      </c>
      <c r="J217" s="2" t="s">
        <v>169</v>
      </c>
      <c r="K217" s="2" t="s">
        <v>635</v>
      </c>
      <c r="L217" s="2" t="s">
        <v>24</v>
      </c>
    </row>
    <row r="218" spans="1:12" ht="15.75" x14ac:dyDescent="0.25">
      <c r="A218" s="2" t="s">
        <v>673</v>
      </c>
      <c r="B218" s="5">
        <v>2013</v>
      </c>
      <c r="C218" s="2" t="s">
        <v>674</v>
      </c>
      <c r="D218" s="2" t="s">
        <v>7</v>
      </c>
      <c r="E218" s="2" t="s">
        <v>737</v>
      </c>
      <c r="F218" s="2" t="s">
        <v>752</v>
      </c>
      <c r="G218" s="2" t="s">
        <v>148</v>
      </c>
      <c r="H218" s="5">
        <v>76</v>
      </c>
      <c r="I218" s="2" t="s">
        <v>635</v>
      </c>
      <c r="J218" s="2" t="s">
        <v>712</v>
      </c>
      <c r="K218" s="2" t="s">
        <v>680</v>
      </c>
      <c r="L218" s="2" t="s">
        <v>24</v>
      </c>
    </row>
    <row r="219" spans="1:12" ht="15.75" x14ac:dyDescent="0.25">
      <c r="A219" s="2" t="s">
        <v>673</v>
      </c>
      <c r="B219" s="5">
        <v>2013</v>
      </c>
      <c r="C219" s="2" t="s">
        <v>674</v>
      </c>
      <c r="D219" s="2" t="s">
        <v>7</v>
      </c>
      <c r="E219" s="2" t="s">
        <v>737</v>
      </c>
      <c r="F219" s="2" t="s">
        <v>753</v>
      </c>
      <c r="G219" s="2" t="s">
        <v>148</v>
      </c>
      <c r="H219" s="5">
        <v>76</v>
      </c>
      <c r="I219" s="2" t="s">
        <v>754</v>
      </c>
      <c r="J219" s="2" t="s">
        <v>245</v>
      </c>
      <c r="K219" s="2" t="s">
        <v>232</v>
      </c>
      <c r="L219" s="2" t="s">
        <v>599</v>
      </c>
    </row>
    <row r="220" spans="1:12" ht="15.75" x14ac:dyDescent="0.25">
      <c r="A220" s="2" t="s">
        <v>673</v>
      </c>
      <c r="B220" s="5">
        <v>2013</v>
      </c>
      <c r="C220" s="2" t="s">
        <v>674</v>
      </c>
      <c r="D220" s="2" t="s">
        <v>7</v>
      </c>
      <c r="E220" s="2" t="s">
        <v>737</v>
      </c>
      <c r="F220" s="2" t="s">
        <v>755</v>
      </c>
      <c r="G220" s="2" t="s">
        <v>148</v>
      </c>
      <c r="H220" s="5">
        <v>75</v>
      </c>
      <c r="I220" s="2" t="s">
        <v>175</v>
      </c>
      <c r="J220" s="2" t="s">
        <v>748</v>
      </c>
      <c r="K220" s="2" t="s">
        <v>680</v>
      </c>
      <c r="L220" s="2" t="s">
        <v>599</v>
      </c>
    </row>
    <row r="221" spans="1:12" ht="15.75" x14ac:dyDescent="0.25">
      <c r="A221" s="2" t="s">
        <v>673</v>
      </c>
      <c r="B221" s="5">
        <v>2013</v>
      </c>
      <c r="C221" s="2" t="s">
        <v>674</v>
      </c>
      <c r="D221" s="2" t="s">
        <v>7</v>
      </c>
      <c r="E221" s="2" t="s">
        <v>737</v>
      </c>
      <c r="F221" s="2" t="s">
        <v>756</v>
      </c>
      <c r="G221" s="2" t="s">
        <v>148</v>
      </c>
      <c r="H221" s="5">
        <v>73</v>
      </c>
      <c r="I221" s="2" t="s">
        <v>170</v>
      </c>
      <c r="J221" s="2" t="s">
        <v>169</v>
      </c>
      <c r="K221" s="2" t="s">
        <v>171</v>
      </c>
      <c r="L221" s="2" t="s">
        <v>24</v>
      </c>
    </row>
    <row r="222" spans="1:12" ht="15.75" x14ac:dyDescent="0.25">
      <c r="A222" s="2" t="s">
        <v>673</v>
      </c>
      <c r="B222" s="5">
        <v>2013</v>
      </c>
      <c r="C222" s="2" t="s">
        <v>674</v>
      </c>
      <c r="D222" s="2" t="s">
        <v>7</v>
      </c>
      <c r="E222" s="2" t="s">
        <v>729</v>
      </c>
      <c r="F222" s="2" t="s">
        <v>757</v>
      </c>
      <c r="G222" s="2" t="s">
        <v>148</v>
      </c>
      <c r="H222" s="5">
        <v>35</v>
      </c>
      <c r="I222" s="2" t="s">
        <v>163</v>
      </c>
      <c r="J222" s="2" t="s">
        <v>567</v>
      </c>
      <c r="K222" s="2" t="s">
        <v>746</v>
      </c>
      <c r="L222" s="2" t="s">
        <v>517</v>
      </c>
    </row>
    <row r="223" spans="1:12" ht="15.75" x14ac:dyDescent="0.25">
      <c r="A223" s="2" t="s">
        <v>673</v>
      </c>
      <c r="B223" s="5">
        <v>2013</v>
      </c>
      <c r="C223" s="2" t="s">
        <v>674</v>
      </c>
      <c r="D223" s="2" t="s">
        <v>7</v>
      </c>
      <c r="E223" s="2" t="s">
        <v>729</v>
      </c>
      <c r="F223" s="2" t="s">
        <v>758</v>
      </c>
      <c r="G223" s="2" t="s">
        <v>148</v>
      </c>
      <c r="H223" s="5">
        <v>90</v>
      </c>
      <c r="I223" s="2" t="s">
        <v>759</v>
      </c>
      <c r="J223" s="2" t="s">
        <v>380</v>
      </c>
      <c r="K223" s="2" t="s">
        <v>487</v>
      </c>
      <c r="L223" s="2" t="s">
        <v>483</v>
      </c>
    </row>
    <row r="224" spans="1:12" ht="15.75" x14ac:dyDescent="0.25">
      <c r="A224" s="2" t="s">
        <v>673</v>
      </c>
      <c r="B224" s="5">
        <v>2013</v>
      </c>
      <c r="C224" s="2" t="s">
        <v>674</v>
      </c>
      <c r="D224" s="2" t="s">
        <v>7</v>
      </c>
      <c r="E224" s="2" t="s">
        <v>729</v>
      </c>
      <c r="F224" s="2" t="s">
        <v>760</v>
      </c>
      <c r="G224" s="2" t="s">
        <v>148</v>
      </c>
      <c r="H224" s="5">
        <v>47</v>
      </c>
      <c r="I224" s="2" t="s">
        <v>761</v>
      </c>
      <c r="J224" s="2" t="s">
        <v>746</v>
      </c>
      <c r="K224" s="2" t="s">
        <v>165</v>
      </c>
      <c r="L224" s="2" t="s">
        <v>483</v>
      </c>
    </row>
    <row r="225" spans="1:14" ht="15.75" x14ac:dyDescent="0.25">
      <c r="A225" s="2" t="s">
        <v>673</v>
      </c>
      <c r="B225" s="5">
        <v>2013</v>
      </c>
      <c r="C225" s="2" t="s">
        <v>674</v>
      </c>
      <c r="D225" s="2" t="s">
        <v>7</v>
      </c>
      <c r="E225" s="2" t="s">
        <v>762</v>
      </c>
      <c r="F225" s="2" t="s">
        <v>763</v>
      </c>
      <c r="G225" s="2" t="s">
        <v>148</v>
      </c>
      <c r="H225" s="5">
        <v>92</v>
      </c>
      <c r="I225" s="2" t="s">
        <v>759</v>
      </c>
      <c r="J225" s="2" t="s">
        <v>680</v>
      </c>
      <c r="K225" s="2" t="s">
        <v>487</v>
      </c>
      <c r="L225" s="2" t="s">
        <v>165</v>
      </c>
    </row>
    <row r="226" spans="1:14" ht="15.75" x14ac:dyDescent="0.25">
      <c r="A226" s="2" t="s">
        <v>673</v>
      </c>
      <c r="B226" s="5">
        <v>2013</v>
      </c>
      <c r="C226" s="2" t="s">
        <v>674</v>
      </c>
      <c r="D226" s="2" t="s">
        <v>7</v>
      </c>
      <c r="E226" s="2" t="s">
        <v>764</v>
      </c>
      <c r="F226" s="2" t="s">
        <v>765</v>
      </c>
      <c r="G226" s="2" t="s">
        <v>148</v>
      </c>
      <c r="H226" s="5">
        <v>18</v>
      </c>
      <c r="I226" s="2" t="s">
        <v>766</v>
      </c>
      <c r="J226" s="2" t="s">
        <v>165</v>
      </c>
      <c r="K226" s="2" t="s">
        <v>746</v>
      </c>
      <c r="L226" s="2" t="s">
        <v>567</v>
      </c>
    </row>
    <row r="227" spans="1:14" ht="15.75" x14ac:dyDescent="0.25">
      <c r="A227" s="2" t="s">
        <v>673</v>
      </c>
      <c r="B227" s="5">
        <v>2013</v>
      </c>
      <c r="C227" s="2" t="s">
        <v>674</v>
      </c>
      <c r="D227" s="2" t="s">
        <v>7</v>
      </c>
      <c r="E227" s="2" t="s">
        <v>764</v>
      </c>
      <c r="F227" s="2" t="s">
        <v>767</v>
      </c>
      <c r="G227" s="2" t="s">
        <v>148</v>
      </c>
      <c r="H227" s="5">
        <v>18</v>
      </c>
      <c r="I227" s="2" t="s">
        <v>766</v>
      </c>
      <c r="J227" s="2" t="s">
        <v>567</v>
      </c>
      <c r="K227" s="2" t="s">
        <v>683</v>
      </c>
      <c r="L227" s="2" t="s">
        <v>560</v>
      </c>
    </row>
    <row r="228" spans="1:14" ht="15.75" x14ac:dyDescent="0.25">
      <c r="A228" s="2" t="s">
        <v>673</v>
      </c>
      <c r="B228" s="5">
        <v>2013</v>
      </c>
      <c r="C228" s="2" t="s">
        <v>674</v>
      </c>
      <c r="D228" s="2" t="s">
        <v>7</v>
      </c>
      <c r="E228" s="2" t="s">
        <v>764</v>
      </c>
      <c r="F228" s="2" t="s">
        <v>768</v>
      </c>
      <c r="G228" s="2" t="s">
        <v>148</v>
      </c>
      <c r="H228" s="5">
        <v>62</v>
      </c>
      <c r="I228" s="2" t="s">
        <v>748</v>
      </c>
      <c r="J228" s="2" t="s">
        <v>680</v>
      </c>
      <c r="K228" s="2" t="s">
        <v>746</v>
      </c>
      <c r="L228" s="2" t="s">
        <v>171</v>
      </c>
    </row>
    <row r="229" spans="1:14" ht="15.75" x14ac:dyDescent="0.25">
      <c r="A229" s="2" t="s">
        <v>673</v>
      </c>
      <c r="B229" s="5">
        <v>2013</v>
      </c>
      <c r="C229" s="2" t="s">
        <v>674</v>
      </c>
      <c r="D229" s="2" t="s">
        <v>7</v>
      </c>
      <c r="E229" s="2" t="s">
        <v>764</v>
      </c>
      <c r="F229" s="2" t="s">
        <v>769</v>
      </c>
      <c r="G229" s="2" t="s">
        <v>148</v>
      </c>
      <c r="H229" s="5">
        <v>56</v>
      </c>
      <c r="I229" s="2" t="s">
        <v>163</v>
      </c>
      <c r="J229" s="2" t="s">
        <v>635</v>
      </c>
      <c r="K229" s="2" t="s">
        <v>483</v>
      </c>
      <c r="L229" s="2" t="s">
        <v>507</v>
      </c>
    </row>
    <row r="230" spans="1:14" ht="15.75" x14ac:dyDescent="0.25">
      <c r="A230" s="2" t="s">
        <v>673</v>
      </c>
      <c r="B230" s="5">
        <v>2013</v>
      </c>
      <c r="C230" s="2" t="s">
        <v>674</v>
      </c>
      <c r="D230" s="2" t="s">
        <v>7</v>
      </c>
      <c r="E230" s="2" t="s">
        <v>721</v>
      </c>
      <c r="F230" s="2" t="s">
        <v>770</v>
      </c>
      <c r="G230" s="2" t="s">
        <v>148</v>
      </c>
      <c r="H230" s="5">
        <v>85</v>
      </c>
      <c r="I230" s="2" t="s">
        <v>143</v>
      </c>
      <c r="J230" s="2" t="s">
        <v>487</v>
      </c>
      <c r="K230" s="2" t="s">
        <v>164</v>
      </c>
      <c r="L230" s="2" t="s">
        <v>487</v>
      </c>
    </row>
    <row r="231" spans="1:14" ht="15.75" x14ac:dyDescent="0.25">
      <c r="A231" s="2" t="s">
        <v>673</v>
      </c>
      <c r="B231" s="5">
        <v>2013</v>
      </c>
      <c r="C231" s="2" t="s">
        <v>674</v>
      </c>
      <c r="D231" s="2" t="s">
        <v>7</v>
      </c>
      <c r="E231" s="2" t="s">
        <v>710</v>
      </c>
      <c r="F231" s="2" t="s">
        <v>771</v>
      </c>
      <c r="G231" s="2" t="s">
        <v>148</v>
      </c>
      <c r="H231" s="5">
        <v>88</v>
      </c>
      <c r="I231" s="2" t="s">
        <v>163</v>
      </c>
      <c r="J231" s="2" t="s">
        <v>483</v>
      </c>
      <c r="K231" s="2" t="s">
        <v>635</v>
      </c>
      <c r="L231" s="2" t="s">
        <v>507</v>
      </c>
    </row>
    <row r="232" spans="1:14" ht="15.75" x14ac:dyDescent="0.25">
      <c r="A232" s="2" t="s">
        <v>673</v>
      </c>
      <c r="B232" s="5">
        <v>2013</v>
      </c>
      <c r="C232" s="2" t="s">
        <v>674</v>
      </c>
      <c r="D232" s="2" t="s">
        <v>7</v>
      </c>
      <c r="E232" s="2" t="s">
        <v>772</v>
      </c>
      <c r="F232" s="2" t="s">
        <v>773</v>
      </c>
      <c r="G232" s="2" t="s">
        <v>148</v>
      </c>
      <c r="H232" s="5">
        <v>94</v>
      </c>
      <c r="I232" s="2" t="s">
        <v>748</v>
      </c>
      <c r="J232" s="2" t="s">
        <v>170</v>
      </c>
      <c r="K232" s="2" t="s">
        <v>164</v>
      </c>
      <c r="L232" s="2" t="s">
        <v>517</v>
      </c>
    </row>
    <row r="233" spans="1:14" ht="15.75" x14ac:dyDescent="0.25">
      <c r="A233" s="2" t="s">
        <v>673</v>
      </c>
      <c r="B233" s="5">
        <v>2013</v>
      </c>
      <c r="C233" s="2" t="s">
        <v>674</v>
      </c>
      <c r="D233" s="2" t="s">
        <v>7</v>
      </c>
      <c r="E233" s="2" t="s">
        <v>772</v>
      </c>
      <c r="F233" s="2" t="s">
        <v>774</v>
      </c>
      <c r="G233" s="2" t="s">
        <v>148</v>
      </c>
      <c r="H233" s="5">
        <v>94</v>
      </c>
      <c r="I233" s="2" t="s">
        <v>761</v>
      </c>
      <c r="J233" s="2" t="s">
        <v>739</v>
      </c>
      <c r="K233" s="2" t="s">
        <v>635</v>
      </c>
      <c r="L233" s="2" t="s">
        <v>507</v>
      </c>
    </row>
    <row r="234" spans="1:14" ht="15.75" x14ac:dyDescent="0.25">
      <c r="A234" s="2" t="s">
        <v>673</v>
      </c>
      <c r="B234" s="5">
        <v>2013</v>
      </c>
      <c r="C234" s="2" t="s">
        <v>674</v>
      </c>
      <c r="D234" s="2" t="s">
        <v>7</v>
      </c>
      <c r="E234" s="2" t="s">
        <v>732</v>
      </c>
      <c r="F234" s="2" t="s">
        <v>775</v>
      </c>
      <c r="G234" s="2" t="s">
        <v>148</v>
      </c>
      <c r="H234" s="5">
        <v>41</v>
      </c>
      <c r="I234" s="2" t="s">
        <v>154</v>
      </c>
      <c r="J234" s="2" t="s">
        <v>232</v>
      </c>
      <c r="K234" s="2" t="s">
        <v>635</v>
      </c>
      <c r="L234" s="2" t="s">
        <v>437</v>
      </c>
    </row>
    <row r="235" spans="1:14" ht="15.75" x14ac:dyDescent="0.25">
      <c r="A235" s="2" t="s">
        <v>673</v>
      </c>
      <c r="B235" s="5">
        <v>2013</v>
      </c>
      <c r="C235" s="2" t="s">
        <v>674</v>
      </c>
      <c r="D235" s="2" t="s">
        <v>7</v>
      </c>
      <c r="E235" s="2" t="s">
        <v>776</v>
      </c>
      <c r="F235" s="2"/>
      <c r="G235" s="2" t="s">
        <v>148</v>
      </c>
      <c r="H235" s="5">
        <v>125</v>
      </c>
      <c r="I235" s="2" t="s">
        <v>745</v>
      </c>
      <c r="J235" s="2" t="s">
        <v>239</v>
      </c>
      <c r="K235" s="2" t="s">
        <v>683</v>
      </c>
      <c r="L235" s="2" t="s">
        <v>647</v>
      </c>
    </row>
    <row r="236" spans="1:14" ht="15.75" x14ac:dyDescent="0.25">
      <c r="A236" s="2" t="s">
        <v>673</v>
      </c>
      <c r="B236" s="5">
        <v>2013</v>
      </c>
      <c r="C236" s="2" t="s">
        <v>674</v>
      </c>
      <c r="D236" s="2" t="s">
        <v>7</v>
      </c>
      <c r="E236" s="2" t="s">
        <v>714</v>
      </c>
      <c r="F236" s="2" t="s">
        <v>777</v>
      </c>
      <c r="G236" s="2" t="s">
        <v>148</v>
      </c>
      <c r="H236" s="5">
        <v>50</v>
      </c>
      <c r="I236" s="2" t="s">
        <v>738</v>
      </c>
      <c r="J236" s="2" t="s">
        <v>232</v>
      </c>
      <c r="K236" s="2" t="s">
        <v>171</v>
      </c>
      <c r="L236" s="2" t="s">
        <v>507</v>
      </c>
    </row>
    <row r="237" spans="1:14" ht="15.75" x14ac:dyDescent="0.25">
      <c r="A237" s="2" t="s">
        <v>673</v>
      </c>
      <c r="B237" s="5">
        <v>2013</v>
      </c>
      <c r="C237" s="2" t="s">
        <v>674</v>
      </c>
      <c r="D237" s="2" t="s">
        <v>7</v>
      </c>
      <c r="E237" s="2" t="s">
        <v>778</v>
      </c>
      <c r="F237" s="2" t="s">
        <v>779</v>
      </c>
      <c r="G237" s="2" t="s">
        <v>148</v>
      </c>
      <c r="H237" s="5">
        <v>39</v>
      </c>
      <c r="I237" s="2" t="s">
        <v>780</v>
      </c>
      <c r="J237" s="2" t="s">
        <v>598</v>
      </c>
      <c r="K237" s="2" t="s">
        <v>746</v>
      </c>
      <c r="L237" s="2" t="s">
        <v>170</v>
      </c>
    </row>
    <row r="238" spans="1:14" ht="15.75" x14ac:dyDescent="0.25">
      <c r="A238" s="2" t="s">
        <v>673</v>
      </c>
      <c r="B238" s="5">
        <v>2013</v>
      </c>
      <c r="C238" s="2" t="s">
        <v>674</v>
      </c>
      <c r="D238" s="2" t="s">
        <v>7</v>
      </c>
      <c r="E238" s="2" t="s">
        <v>781</v>
      </c>
      <c r="F238" s="2" t="s">
        <v>782</v>
      </c>
      <c r="G238" s="2" t="s">
        <v>148</v>
      </c>
      <c r="H238" s="5">
        <v>52</v>
      </c>
      <c r="I238" s="2" t="s">
        <v>748</v>
      </c>
      <c r="J238" s="2" t="s">
        <v>487</v>
      </c>
      <c r="K238" s="2" t="s">
        <v>487</v>
      </c>
      <c r="L238" s="2" t="s">
        <v>380</v>
      </c>
    </row>
    <row r="239" spans="1:14" ht="15.75" x14ac:dyDescent="0.25">
      <c r="A239" s="2" t="s">
        <v>673</v>
      </c>
      <c r="B239" s="5">
        <v>2013</v>
      </c>
      <c r="C239" s="2" t="s">
        <v>674</v>
      </c>
      <c r="D239" s="2" t="s">
        <v>7</v>
      </c>
      <c r="E239" s="2" t="s">
        <v>781</v>
      </c>
      <c r="F239" s="2" t="s">
        <v>783</v>
      </c>
      <c r="G239" s="2" t="s">
        <v>148</v>
      </c>
      <c r="H239" s="5">
        <v>24</v>
      </c>
      <c r="I239" s="2" t="s">
        <v>784</v>
      </c>
      <c r="J239" s="2" t="s">
        <v>483</v>
      </c>
      <c r="K239" s="2" t="s">
        <v>739</v>
      </c>
      <c r="L239" s="2" t="s">
        <v>680</v>
      </c>
    </row>
    <row r="240" spans="1:14" ht="15.75" x14ac:dyDescent="0.25">
      <c r="H240" s="10" t="s">
        <v>182</v>
      </c>
      <c r="I240" s="11" t="s">
        <v>785</v>
      </c>
      <c r="J240" s="11" t="s">
        <v>254</v>
      </c>
      <c r="K240" s="11" t="s">
        <v>786</v>
      </c>
      <c r="L240" s="11" t="s">
        <v>787</v>
      </c>
      <c r="M240" s="11"/>
      <c r="N240" s="11"/>
    </row>
    <row r="241" spans="8:14" ht="15.75" x14ac:dyDescent="0.25">
      <c r="H241" s="10" t="s">
        <v>181</v>
      </c>
      <c r="I241" s="11" t="s">
        <v>165</v>
      </c>
      <c r="J241" s="11" t="s">
        <v>598</v>
      </c>
      <c r="K241" s="11" t="s">
        <v>30</v>
      </c>
      <c r="L241" s="11" t="s">
        <v>224</v>
      </c>
      <c r="M241" s="11"/>
      <c r="N241" s="11"/>
    </row>
    <row r="242" spans="8:14" ht="15.75" x14ac:dyDescent="0.25">
      <c r="H242" s="10" t="s">
        <v>183</v>
      </c>
      <c r="I242" s="11" t="s">
        <v>716</v>
      </c>
      <c r="J242" s="11" t="s">
        <v>223</v>
      </c>
      <c r="K242" s="11" t="s">
        <v>683</v>
      </c>
      <c r="L242" s="11" t="s">
        <v>170</v>
      </c>
      <c r="M242" s="11"/>
      <c r="N242" s="11"/>
    </row>
  </sheetData>
  <mergeCells count="7">
    <mergeCell ref="A177:O177"/>
    <mergeCell ref="A198:O198"/>
    <mergeCell ref="A2:O2"/>
    <mergeCell ref="A15:O15"/>
    <mergeCell ref="A28:O28"/>
    <mergeCell ref="A112:O112"/>
    <mergeCell ref="A161:O16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5"/>
  <sheetViews>
    <sheetView workbookViewId="0"/>
  </sheetViews>
  <sheetFormatPr baseColWidth="10" defaultColWidth="9.140625" defaultRowHeight="15" x14ac:dyDescent="0.25"/>
  <cols>
    <col min="1" max="1" width="100" customWidth="1"/>
  </cols>
  <sheetData>
    <row r="1" spans="1:1" ht="15.75" x14ac:dyDescent="0.25">
      <c r="A1" s="8" t="s">
        <v>788</v>
      </c>
    </row>
    <row r="2" spans="1:1" ht="15.75" x14ac:dyDescent="0.25">
      <c r="A2" s="8" t="s">
        <v>138</v>
      </c>
    </row>
    <row r="3" spans="1:1" ht="15.75" x14ac:dyDescent="0.25">
      <c r="A3" s="8" t="s">
        <v>789</v>
      </c>
    </row>
    <row r="4" spans="1:1" ht="15.75" x14ac:dyDescent="0.25">
      <c r="A4" s="8" t="s">
        <v>138</v>
      </c>
    </row>
    <row r="5" spans="1:1" ht="31.5" x14ac:dyDescent="0.25">
      <c r="A5" s="8" t="s">
        <v>790</v>
      </c>
    </row>
    <row r="6" spans="1:1" ht="15.75" x14ac:dyDescent="0.25">
      <c r="A6" s="8" t="s">
        <v>138</v>
      </c>
    </row>
    <row r="7" spans="1:1" ht="15.75" x14ac:dyDescent="0.25">
      <c r="A7" s="8" t="s">
        <v>791</v>
      </c>
    </row>
    <row r="8" spans="1:1" ht="15.75" x14ac:dyDescent="0.25">
      <c r="A8" s="8" t="s">
        <v>138</v>
      </c>
    </row>
    <row r="9" spans="1:1" ht="141.75" x14ac:dyDescent="0.25">
      <c r="A9" s="8" t="s">
        <v>792</v>
      </c>
    </row>
    <row r="10" spans="1:1" ht="15.75" x14ac:dyDescent="0.25">
      <c r="A10" s="8" t="s">
        <v>138</v>
      </c>
    </row>
    <row r="11" spans="1:1" ht="126" x14ac:dyDescent="0.25">
      <c r="A11" s="8" t="s">
        <v>793</v>
      </c>
    </row>
    <row r="12" spans="1:1" ht="15.75" x14ac:dyDescent="0.25">
      <c r="A12" s="8" t="s">
        <v>138</v>
      </c>
    </row>
    <row r="13" spans="1:1" ht="126" x14ac:dyDescent="0.25">
      <c r="A13" s="8" t="s">
        <v>794</v>
      </c>
    </row>
    <row r="14" spans="1:1" ht="15.75" x14ac:dyDescent="0.25">
      <c r="A14" s="8" t="s">
        <v>138</v>
      </c>
    </row>
    <row r="15" spans="1:1" ht="126" x14ac:dyDescent="0.25">
      <c r="A15" s="8" t="s">
        <v>795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Views>
    <sheetView workbookViewId="0"/>
  </sheetViews>
  <sheetFormatPr baseColWidth="10" defaultColWidth="9.140625" defaultRowHeight="15" x14ac:dyDescent="0.25"/>
  <cols>
    <col min="1" max="1" width="100" customWidth="1"/>
  </cols>
  <sheetData>
    <row r="1" spans="1:1" ht="18.75" x14ac:dyDescent="0.3">
      <c r="A1" s="9" t="s">
        <v>796</v>
      </c>
    </row>
    <row r="2" spans="1:1" s="4" customFormat="1" ht="15.75" x14ac:dyDescent="0.25">
      <c r="A2" s="4" t="s">
        <v>797</v>
      </c>
    </row>
    <row r="3" spans="1:1" s="4" customFormat="1" ht="15.75" x14ac:dyDescent="0.25">
      <c r="A3" s="4" t="s">
        <v>798</v>
      </c>
    </row>
    <row r="4" spans="1:1" s="4" customFormat="1" ht="31.5" x14ac:dyDescent="0.25">
      <c r="A4" s="4" t="s">
        <v>799</v>
      </c>
    </row>
    <row r="5" spans="1:1" s="4" customFormat="1" ht="15.75" x14ac:dyDescent="0.25">
      <c r="A5" s="4" t="s">
        <v>800</v>
      </c>
    </row>
    <row r="6" spans="1:1" s="4" customFormat="1" ht="47.25" x14ac:dyDescent="0.25">
      <c r="A6" s="4" t="s">
        <v>801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heetViews>
  <sheetFormatPr baseColWidth="10" defaultColWidth="9.140625" defaultRowHeight="15" x14ac:dyDescent="0.25"/>
  <cols>
    <col min="1" max="1" width="20" customWidth="1"/>
    <col min="2" max="2" width="100" customWidth="1"/>
  </cols>
  <sheetData>
    <row r="1" spans="1:2" ht="18.75" x14ac:dyDescent="0.3">
      <c r="A1" s="9" t="s">
        <v>802</v>
      </c>
      <c r="B1" s="9" t="s">
        <v>803</v>
      </c>
    </row>
    <row r="2" spans="1:2" ht="15.75" x14ac:dyDescent="0.25">
      <c r="A2" s="1">
        <v>44631</v>
      </c>
      <c r="B2" s="3" t="s">
        <v>804</v>
      </c>
    </row>
    <row r="3" spans="1:2" ht="15.75" x14ac:dyDescent="0.25">
      <c r="A3" s="1">
        <v>43888</v>
      </c>
      <c r="B3" s="3" t="s">
        <v>805</v>
      </c>
    </row>
    <row r="4" spans="1:2" ht="15.75" x14ac:dyDescent="0.25">
      <c r="A4" s="1">
        <v>43762</v>
      </c>
      <c r="B4" s="3" t="s">
        <v>806</v>
      </c>
    </row>
    <row r="5" spans="1:2" ht="15.75" x14ac:dyDescent="0.25">
      <c r="A5" s="1">
        <v>42779</v>
      </c>
      <c r="B5" s="3" t="s">
        <v>807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Allele frequency</vt:lpstr>
      <vt:lpstr>Diplotype frequency</vt:lpstr>
      <vt:lpstr>Phenotype frequency</vt:lpstr>
      <vt:lpstr>References</vt:lpstr>
      <vt:lpstr>Methods and Caveats</vt:lpstr>
      <vt:lpstr>Notes</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CBM</cp:lastModifiedBy>
  <dcterms:created xsi:type="dcterms:W3CDTF">2026-03-13T20:10:01Z</dcterms:created>
  <dcterms:modified xsi:type="dcterms:W3CDTF">2026-05-12T13:24:47Z</dcterms:modified>
</cp:coreProperties>
</file>