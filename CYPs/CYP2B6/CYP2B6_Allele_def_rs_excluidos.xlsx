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X:\Fobos\Proyecto_Diana\TFM_GenoStaR\CYP2B6\"/>
    </mc:Choice>
  </mc:AlternateContent>
  <bookViews>
    <workbookView xWindow="0" yWindow="0" windowWidth="25200" windowHeight="11160" activeTab="1"/>
  </bookViews>
  <sheets>
    <sheet name="Salida_R" sheetId="1" r:id="rId1"/>
    <sheet name="Filtrada" sheetId="2" r:id="rId2"/>
  </sheets>
  <calcPr calcId="162913"/>
</workbook>
</file>

<file path=xl/calcChain.xml><?xml version="1.0" encoding="utf-8"?>
<calcChain xmlns="http://schemas.openxmlformats.org/spreadsheetml/2006/main">
  <c r="Y22" i="2" l="1"/>
</calcChain>
</file>

<file path=xl/sharedStrings.xml><?xml version="1.0" encoding="utf-8"?>
<sst xmlns="http://schemas.openxmlformats.org/spreadsheetml/2006/main" count="258" uniqueCount="101">
  <si>
    <t>rsID</t>
  </si>
  <si>
    <t>rs33980385</t>
  </si>
  <si>
    <t>rs148009906</t>
  </si>
  <si>
    <t>rs535039125</t>
  </si>
  <si>
    <t>X</t>
  </si>
  <si>
    <t>rs139029625</t>
  </si>
  <si>
    <t>rs193922917</t>
  </si>
  <si>
    <t>rs754621576</t>
  </si>
  <si>
    <t>rs780991919</t>
  </si>
  <si>
    <t>rs200458614</t>
  </si>
  <si>
    <t>rs201500445</t>
  </si>
  <si>
    <t>rs200238771</t>
  </si>
  <si>
    <t>rs193922918</t>
  </si>
  <si>
    <t>rs764288403</t>
  </si>
  <si>
    <t>rs374099483</t>
  </si>
  <si>
    <t>rs117872433</t>
  </si>
  <si>
    <t>X.1</t>
  </si>
  <si>
    <t>rs3211371</t>
  </si>
  <si>
    <t>X.2</t>
  </si>
  <si>
    <t>CYP2B6 Allele</t>
  </si>
  <si>
    <t>*1</t>
  </si>
  <si>
    <t>A</t>
  </si>
  <si>
    <t>G</t>
  </si>
  <si>
    <t>C</t>
  </si>
  <si>
    <t>T</t>
  </si>
  <si>
    <t>*2</t>
  </si>
  <si>
    <t>*3</t>
  </si>
  <si>
    <t>*4</t>
  </si>
  <si>
    <t>*5</t>
  </si>
  <si>
    <t>*6</t>
  </si>
  <si>
    <t>*7</t>
  </si>
  <si>
    <t>*8</t>
  </si>
  <si>
    <t>*9</t>
  </si>
  <si>
    <t>*10</t>
  </si>
  <si>
    <t>*11</t>
  </si>
  <si>
    <t>*12</t>
  </si>
  <si>
    <t>*13</t>
  </si>
  <si>
    <t>*14</t>
  </si>
  <si>
    <t>*15</t>
  </si>
  <si>
    <t>*17</t>
  </si>
  <si>
    <t>*18</t>
  </si>
  <si>
    <t>*19</t>
  </si>
  <si>
    <t>*20</t>
  </si>
  <si>
    <t>*21</t>
  </si>
  <si>
    <t>*22</t>
  </si>
  <si>
    <t>*23</t>
  </si>
  <si>
    <t>*24</t>
  </si>
  <si>
    <t>*25</t>
  </si>
  <si>
    <t>*26</t>
  </si>
  <si>
    <t>*27</t>
  </si>
  <si>
    <t>*28</t>
  </si>
  <si>
    <t>*29</t>
  </si>
  <si>
    <t>PV00767</t>
  </si>
  <si>
    <t>*30</t>
  </si>
  <si>
    <t>PV00770</t>
  </si>
  <si>
    <t>*31</t>
  </si>
  <si>
    <t>*32</t>
  </si>
  <si>
    <t>*33</t>
  </si>
  <si>
    <t>*34</t>
  </si>
  <si>
    <t>*35</t>
  </si>
  <si>
    <t>*36</t>
  </si>
  <si>
    <t>*37</t>
  </si>
  <si>
    <t>*38</t>
  </si>
  <si>
    <t>*39</t>
  </si>
  <si>
    <t>*40</t>
  </si>
  <si>
    <t>*41</t>
  </si>
  <si>
    <t>*42</t>
  </si>
  <si>
    <t>*43</t>
  </si>
  <si>
    <t>*44</t>
  </si>
  <si>
    <t>*45</t>
  </si>
  <si>
    <t>*46</t>
  </si>
  <si>
    <t>*47</t>
  </si>
  <si>
    <t>*48</t>
  </si>
  <si>
    <t>*49</t>
  </si>
  <si>
    <t>rs/*alelo</t>
  </si>
  <si>
    <t>MAF European (non-finnish)</t>
  </si>
  <si>
    <t>Base de datos</t>
  </si>
  <si>
    <t>Link</t>
  </si>
  <si>
    <t>https://gnomad.broadinstitute.org/variant/19-41016810-C-A?dataset=gnomad_r4</t>
  </si>
  <si>
    <t xml:space="preserve">ClinPGX </t>
  </si>
  <si>
    <t>GenomAD</t>
  </si>
  <si>
    <t>https://gnomad.broadinstitute.org/variant/19-41010006-G-C?dataset=gnomad_r4</t>
  </si>
  <si>
    <t>https://gnomad.broadinstitute.org/variant/19-41004380-C-T?dataset=gnomad_r4</t>
  </si>
  <si>
    <t>https://gnomad.broadinstitute.org/variant/19-41012466-G-A?dataset=gnomad_r4</t>
  </si>
  <si>
    <t>https://gnomad.broadinstitute.org/variant/19-41012471-T-C?dataset=gnomad_r4</t>
  </si>
  <si>
    <t>https://gnomad.broadinstitute.org/variant/19-41016679-G-A?dataset=gnomad_r4</t>
  </si>
  <si>
    <t>https://gnomad.broadinstitute.org/variant/19-41016741-G-A?dataset=gnomad_r4</t>
  </si>
  <si>
    <t>https://gnomad.broadinstitute.org/variant/19-41004133-G-A?dataset=gnomad_r4</t>
  </si>
  <si>
    <t>https://gnomad.broadinstitute.org/variant/19-41012478-T-A?dataset=gnomad_r4</t>
  </si>
  <si>
    <t>https://gnomad.broadinstitute.org/variant/19-41016652-G-A?dataset=gnomad_r4</t>
  </si>
  <si>
    <t>https://gnomad.broadinstitute.org/variant/19-41012394-A-G?dataset=gnomad_r4</t>
  </si>
  <si>
    <t>https://gnomad.broadinstitute.org/variant/19-41012393-T-C?dataset=gnomad_r4</t>
  </si>
  <si>
    <t>Corresponde al rs2516199080 (CYP2B6_allele_definition_table)</t>
  </si>
  <si>
    <t>https://www.clinpgx.org/haplotype/PA165818811</t>
  </si>
  <si>
    <t>https://www.clinpgx.org/haplotype/PA165818813</t>
  </si>
  <si>
    <t>https://www.clinpgx.org/haplotype/PA166117272</t>
  </si>
  <si>
    <t>dbSNP</t>
  </si>
  <si>
    <t>https://www.ncbi.nlm.nih.gov/snp/rs193922917</t>
  </si>
  <si>
    <t>https://www.ncbi.nlm.nih.gov/snp/rs193922918</t>
  </si>
  <si>
    <t>https://www.ncbi.nlm.nih.gov/snp/rs33980385</t>
  </si>
  <si>
    <t>https://www.ncbi.nlm.nih.gov/snp/rs3211371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</si>
</sst>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00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0" fillId="2" borderId="0" xfId="0" applyFill="1"/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0" fillId="2" borderId="1" xfId="0" applyFill="1" applyBorder="1"/>
    <xf numFmtId="0" fontId="0" fillId="4" borderId="1" xfId="0" applyFill="1" applyBorder="1"/>
    <xf numFmtId="0" fontId="0" fillId="3" borderId="1" xfId="0" applyFill="1" applyBorder="1"/>
    <xf numFmtId="11" fontId="0" fillId="0" borderId="1" xfId="0" applyNumberFormat="1" applyBorder="1"/>
    <xf numFmtId="0" fontId="2" fillId="0" borderId="1" xfId="1" applyBorder="1"/>
    <xf numFmtId="164" fontId="0" fillId="0" borderId="1" xfId="0" applyNumberFormat="1" applyBorder="1"/>
    <xf numFmtId="0" fontId="0" fillId="5" borderId="1" xfId="0" applyFill="1" applyBorder="1"/>
    <xf numFmtId="0" fontId="0" fillId="0" borderId="1" xfId="0" applyFill="1" applyBorder="1"/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gnomad.broadinstitute.org/variant/19-41012478-T-A?dataset=gnomad_r4" TargetMode="External"/><Relationship Id="rId1" Type="http://schemas.openxmlformats.org/officeDocument/2006/relationships/hyperlink" Target="https://gnomad.broadinstitute.org/variant/19-41004133-G-A?dataset=gnomad_r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"/>
  <sheetViews>
    <sheetView workbookViewId="0">
      <selection activeCell="L14" sqref="L14"/>
    </sheetView>
  </sheetViews>
  <sheetFormatPr baseColWidth="10" defaultColWidth="9.140625" defaultRowHeight="15" x14ac:dyDescent="0.25"/>
  <sheetData>
    <row r="1" spans="1:1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 t="s">
        <v>19</v>
      </c>
    </row>
    <row r="3" spans="1:19" x14ac:dyDescent="0.25">
      <c r="A3" t="s">
        <v>20</v>
      </c>
      <c r="B3" t="s">
        <v>21</v>
      </c>
      <c r="C3" t="s">
        <v>22</v>
      </c>
      <c r="D3" t="s">
        <v>23</v>
      </c>
      <c r="E3" t="s">
        <v>21</v>
      </c>
      <c r="F3" t="s">
        <v>22</v>
      </c>
      <c r="G3" t="s">
        <v>23</v>
      </c>
      <c r="H3" t="s">
        <v>24</v>
      </c>
      <c r="I3" t="s">
        <v>21</v>
      </c>
      <c r="J3" t="s">
        <v>22</v>
      </c>
      <c r="K3" t="s">
        <v>24</v>
      </c>
      <c r="L3" t="s">
        <v>24</v>
      </c>
      <c r="M3" t="s">
        <v>22</v>
      </c>
      <c r="N3" t="s">
        <v>22</v>
      </c>
      <c r="O3" t="s">
        <v>22</v>
      </c>
      <c r="P3" t="s">
        <v>22</v>
      </c>
      <c r="Q3" t="s">
        <v>21</v>
      </c>
      <c r="R3" t="s">
        <v>23</v>
      </c>
    </row>
    <row r="4" spans="1:19" x14ac:dyDescent="0.25">
      <c r="A4" t="s">
        <v>25</v>
      </c>
    </row>
    <row r="5" spans="1:19" x14ac:dyDescent="0.25">
      <c r="A5" t="s">
        <v>26</v>
      </c>
    </row>
    <row r="6" spans="1:19" x14ac:dyDescent="0.25">
      <c r="A6" t="s">
        <v>27</v>
      </c>
    </row>
    <row r="7" spans="1:19" x14ac:dyDescent="0.25">
      <c r="A7" t="s">
        <v>28</v>
      </c>
      <c r="R7" t="s">
        <v>24</v>
      </c>
    </row>
    <row r="8" spans="1:19" x14ac:dyDescent="0.25">
      <c r="A8" t="s">
        <v>29</v>
      </c>
    </row>
    <row r="9" spans="1:19" x14ac:dyDescent="0.25">
      <c r="A9" t="s">
        <v>30</v>
      </c>
      <c r="R9" t="s">
        <v>24</v>
      </c>
    </row>
    <row r="10" spans="1:19" x14ac:dyDescent="0.25">
      <c r="A10" t="s">
        <v>31</v>
      </c>
    </row>
    <row r="11" spans="1:19" x14ac:dyDescent="0.25">
      <c r="A11" t="s">
        <v>32</v>
      </c>
    </row>
    <row r="12" spans="1:19" x14ac:dyDescent="0.25">
      <c r="A12" t="s">
        <v>33</v>
      </c>
    </row>
    <row r="13" spans="1:19" x14ac:dyDescent="0.25">
      <c r="A13" t="s">
        <v>34</v>
      </c>
    </row>
    <row r="14" spans="1:19" x14ac:dyDescent="0.25">
      <c r="A14" t="s">
        <v>35</v>
      </c>
    </row>
    <row r="15" spans="1:19" x14ac:dyDescent="0.25">
      <c r="A15" t="s">
        <v>36</v>
      </c>
    </row>
    <row r="16" spans="1:19" x14ac:dyDescent="0.25">
      <c r="A16" t="s">
        <v>37</v>
      </c>
    </row>
    <row r="17" spans="1:19" x14ac:dyDescent="0.25">
      <c r="A17" t="s">
        <v>38</v>
      </c>
    </row>
    <row r="18" spans="1:19" x14ac:dyDescent="0.25">
      <c r="A18" t="s">
        <v>39</v>
      </c>
      <c r="B18" t="s">
        <v>22</v>
      </c>
    </row>
    <row r="19" spans="1:19" x14ac:dyDescent="0.25">
      <c r="A19" t="s">
        <v>40</v>
      </c>
    </row>
    <row r="20" spans="1:19" x14ac:dyDescent="0.25">
      <c r="A20" t="s">
        <v>41</v>
      </c>
    </row>
    <row r="21" spans="1:19" x14ac:dyDescent="0.25">
      <c r="A21" t="s">
        <v>42</v>
      </c>
    </row>
    <row r="22" spans="1:19" x14ac:dyDescent="0.25">
      <c r="A22" t="s">
        <v>43</v>
      </c>
    </row>
    <row r="23" spans="1:19" x14ac:dyDescent="0.25">
      <c r="A23" t="s">
        <v>44</v>
      </c>
    </row>
    <row r="24" spans="1:19" x14ac:dyDescent="0.25">
      <c r="A24" t="s">
        <v>45</v>
      </c>
    </row>
    <row r="25" spans="1:19" x14ac:dyDescent="0.25">
      <c r="A25" t="s">
        <v>46</v>
      </c>
    </row>
    <row r="26" spans="1:19" x14ac:dyDescent="0.25">
      <c r="A26" t="s">
        <v>47</v>
      </c>
      <c r="Q26" t="s">
        <v>24</v>
      </c>
    </row>
    <row r="27" spans="1:19" x14ac:dyDescent="0.25">
      <c r="A27" t="s">
        <v>48</v>
      </c>
    </row>
    <row r="28" spans="1:19" x14ac:dyDescent="0.25">
      <c r="A28" t="s">
        <v>49</v>
      </c>
    </row>
    <row r="29" spans="1:19" x14ac:dyDescent="0.25">
      <c r="A29" t="s">
        <v>50</v>
      </c>
    </row>
    <row r="30" spans="1:19" x14ac:dyDescent="0.25">
      <c r="A30" t="s">
        <v>51</v>
      </c>
      <c r="S30" t="s">
        <v>52</v>
      </c>
    </row>
    <row r="31" spans="1:19" x14ac:dyDescent="0.25">
      <c r="A31" t="s">
        <v>53</v>
      </c>
      <c r="S31" t="s">
        <v>54</v>
      </c>
    </row>
    <row r="32" spans="1:19" x14ac:dyDescent="0.25">
      <c r="A32" t="s">
        <v>55</v>
      </c>
      <c r="G32" t="s">
        <v>21</v>
      </c>
    </row>
    <row r="33" spans="1:18" x14ac:dyDescent="0.25">
      <c r="A33" t="s">
        <v>56</v>
      </c>
      <c r="M33" t="s">
        <v>21</v>
      </c>
    </row>
    <row r="34" spans="1:18" x14ac:dyDescent="0.25">
      <c r="A34" t="s">
        <v>57</v>
      </c>
      <c r="R34" t="s">
        <v>21</v>
      </c>
    </row>
    <row r="35" spans="1:18" x14ac:dyDescent="0.25">
      <c r="A35" t="s">
        <v>58</v>
      </c>
      <c r="R35" t="s">
        <v>21</v>
      </c>
    </row>
    <row r="36" spans="1:18" x14ac:dyDescent="0.25">
      <c r="A36" t="s">
        <v>59</v>
      </c>
      <c r="F36" t="s">
        <v>23</v>
      </c>
    </row>
    <row r="37" spans="1:18" x14ac:dyDescent="0.25">
      <c r="A37" t="s">
        <v>60</v>
      </c>
    </row>
    <row r="38" spans="1:18" x14ac:dyDescent="0.25">
      <c r="A38" t="s">
        <v>61</v>
      </c>
    </row>
    <row r="39" spans="1:18" x14ac:dyDescent="0.25">
      <c r="A39" t="s">
        <v>62</v>
      </c>
    </row>
    <row r="40" spans="1:18" x14ac:dyDescent="0.25">
      <c r="A40" t="s">
        <v>63</v>
      </c>
      <c r="D40" t="s">
        <v>24</v>
      </c>
    </row>
    <row r="41" spans="1:18" x14ac:dyDescent="0.25">
      <c r="A41" t="s">
        <v>64</v>
      </c>
      <c r="J41" t="s">
        <v>21</v>
      </c>
    </row>
    <row r="42" spans="1:18" x14ac:dyDescent="0.25">
      <c r="A42" t="s">
        <v>65</v>
      </c>
      <c r="K42" t="s">
        <v>23</v>
      </c>
    </row>
    <row r="43" spans="1:18" x14ac:dyDescent="0.25">
      <c r="A43" t="s">
        <v>66</v>
      </c>
      <c r="O43" t="s">
        <v>21</v>
      </c>
    </row>
    <row r="44" spans="1:18" x14ac:dyDescent="0.25">
      <c r="A44" t="s">
        <v>67</v>
      </c>
      <c r="P44" t="s">
        <v>21</v>
      </c>
    </row>
    <row r="45" spans="1:18" x14ac:dyDescent="0.25">
      <c r="A45" t="s">
        <v>68</v>
      </c>
      <c r="C45" t="s">
        <v>21</v>
      </c>
    </row>
    <row r="46" spans="1:18" x14ac:dyDescent="0.25">
      <c r="A46" t="s">
        <v>69</v>
      </c>
    </row>
    <row r="47" spans="1:18" x14ac:dyDescent="0.25">
      <c r="A47" t="s">
        <v>70</v>
      </c>
      <c r="E47" t="s">
        <v>23</v>
      </c>
    </row>
    <row r="48" spans="1:18" x14ac:dyDescent="0.25">
      <c r="A48" t="s">
        <v>71</v>
      </c>
      <c r="H48" t="s">
        <v>23</v>
      </c>
      <c r="I48" t="s">
        <v>22</v>
      </c>
    </row>
    <row r="49" spans="1:14" x14ac:dyDescent="0.25">
      <c r="A49" t="s">
        <v>72</v>
      </c>
      <c r="L49" t="s">
        <v>21</v>
      </c>
    </row>
    <row r="50" spans="1:14" x14ac:dyDescent="0.25">
      <c r="A50" t="s">
        <v>73</v>
      </c>
      <c r="N50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5"/>
  <sheetViews>
    <sheetView tabSelected="1" topLeftCell="G1" workbookViewId="0">
      <selection activeCell="W25" sqref="W25"/>
    </sheetView>
  </sheetViews>
  <sheetFormatPr baseColWidth="10" defaultColWidth="9.140625" defaultRowHeight="15" x14ac:dyDescent="0.25"/>
  <cols>
    <col min="20" max="20" width="16" customWidth="1"/>
    <col min="21" max="22" width="13.42578125" style="4" customWidth="1"/>
    <col min="23" max="23" width="18.5703125" customWidth="1"/>
    <col min="24" max="24" width="18.5703125" style="2" customWidth="1"/>
    <col min="25" max="25" width="12" bestFit="1" customWidth="1"/>
  </cols>
  <sheetData>
    <row r="1" spans="1:2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5" t="s">
        <v>74</v>
      </c>
      <c r="U1" s="6"/>
      <c r="V1" s="6"/>
      <c r="W1" s="5" t="s">
        <v>75</v>
      </c>
      <c r="X1" s="5"/>
      <c r="Y1" s="5" t="s">
        <v>76</v>
      </c>
      <c r="Z1" s="5" t="s">
        <v>77</v>
      </c>
    </row>
    <row r="2" spans="1:26" x14ac:dyDescent="0.25">
      <c r="A2" t="s">
        <v>19</v>
      </c>
      <c r="T2" s="7"/>
      <c r="U2" s="8"/>
      <c r="V2" s="8"/>
      <c r="W2" s="7"/>
      <c r="X2" s="7"/>
      <c r="Y2" s="7"/>
      <c r="Z2" s="7"/>
    </row>
    <row r="3" spans="1:26" x14ac:dyDescent="0.25">
      <c r="A3" t="s">
        <v>20</v>
      </c>
      <c r="B3" t="s">
        <v>21</v>
      </c>
      <c r="C3" t="s">
        <v>22</v>
      </c>
      <c r="D3" t="s">
        <v>23</v>
      </c>
      <c r="E3" t="s">
        <v>21</v>
      </c>
      <c r="F3" t="s">
        <v>22</v>
      </c>
      <c r="G3" t="s">
        <v>23</v>
      </c>
      <c r="H3" t="s">
        <v>24</v>
      </c>
      <c r="I3" t="s">
        <v>21</v>
      </c>
      <c r="J3" t="s">
        <v>22</v>
      </c>
      <c r="K3" t="s">
        <v>24</v>
      </c>
      <c r="L3" t="s">
        <v>24</v>
      </c>
      <c r="M3" t="s">
        <v>22</v>
      </c>
      <c r="N3" t="s">
        <v>22</v>
      </c>
      <c r="O3" t="s">
        <v>22</v>
      </c>
      <c r="P3" t="s">
        <v>22</v>
      </c>
      <c r="Q3" t="s">
        <v>21</v>
      </c>
      <c r="R3" t="s">
        <v>23</v>
      </c>
      <c r="T3" s="7"/>
      <c r="U3" s="8"/>
      <c r="V3" s="8"/>
      <c r="W3" s="7"/>
      <c r="X3" s="7"/>
      <c r="Y3" s="7"/>
      <c r="Z3" s="7"/>
    </row>
    <row r="4" spans="1:26" x14ac:dyDescent="0.25">
      <c r="A4" t="s">
        <v>28</v>
      </c>
      <c r="R4" t="s">
        <v>24</v>
      </c>
      <c r="T4" s="3" t="s">
        <v>17</v>
      </c>
      <c r="U4" s="8"/>
      <c r="V4" s="8"/>
      <c r="W4">
        <v>9.9989999999999996E-2</v>
      </c>
      <c r="X4" s="7"/>
      <c r="Y4" s="7" t="s">
        <v>96</v>
      </c>
      <c r="Z4" s="7" t="s">
        <v>100</v>
      </c>
    </row>
    <row r="5" spans="1:26" x14ac:dyDescent="0.25">
      <c r="A5" t="s">
        <v>30</v>
      </c>
      <c r="R5" t="s">
        <v>24</v>
      </c>
      <c r="T5" s="3" t="s">
        <v>17</v>
      </c>
      <c r="U5" s="8"/>
      <c r="V5" s="8"/>
      <c r="W5">
        <v>9.9989999999999996E-2</v>
      </c>
      <c r="X5" s="7"/>
      <c r="Y5" s="7" t="s">
        <v>96</v>
      </c>
      <c r="Z5" s="7" t="s">
        <v>100</v>
      </c>
    </row>
    <row r="6" spans="1:26" x14ac:dyDescent="0.25">
      <c r="A6" t="s">
        <v>39</v>
      </c>
      <c r="B6" t="s">
        <v>22</v>
      </c>
      <c r="T6" s="1" t="s">
        <v>1</v>
      </c>
      <c r="U6" s="8"/>
      <c r="V6" s="8"/>
      <c r="W6">
        <v>6.9999999999999994E-5</v>
      </c>
      <c r="X6" s="7"/>
      <c r="Y6" s="7" t="s">
        <v>96</v>
      </c>
      <c r="Z6" s="7" t="s">
        <v>99</v>
      </c>
    </row>
    <row r="7" spans="1:26" x14ac:dyDescent="0.25">
      <c r="A7" t="s">
        <v>47</v>
      </c>
      <c r="Q7" t="s">
        <v>24</v>
      </c>
      <c r="T7" s="10" t="s">
        <v>16</v>
      </c>
      <c r="U7" s="9" t="s">
        <v>47</v>
      </c>
      <c r="V7" s="14" t="s">
        <v>92</v>
      </c>
      <c r="W7" s="8">
        <v>0</v>
      </c>
      <c r="X7" s="7"/>
      <c r="Y7" s="7" t="s">
        <v>79</v>
      </c>
      <c r="Z7" s="7" t="s">
        <v>93</v>
      </c>
    </row>
    <row r="8" spans="1:26" x14ac:dyDescent="0.25">
      <c r="A8" t="s">
        <v>51</v>
      </c>
      <c r="S8" t="s">
        <v>52</v>
      </c>
      <c r="T8" s="10" t="s">
        <v>18</v>
      </c>
      <c r="U8" s="9" t="s">
        <v>51</v>
      </c>
      <c r="V8" s="8"/>
      <c r="W8" s="7">
        <v>0</v>
      </c>
      <c r="X8" s="7"/>
      <c r="Y8" s="7" t="s">
        <v>79</v>
      </c>
      <c r="Z8" s="7" t="s">
        <v>94</v>
      </c>
    </row>
    <row r="9" spans="1:26" x14ac:dyDescent="0.25">
      <c r="A9" t="s">
        <v>53</v>
      </c>
      <c r="S9" t="s">
        <v>54</v>
      </c>
      <c r="T9" s="10" t="s">
        <v>18</v>
      </c>
      <c r="U9" s="9" t="s">
        <v>53</v>
      </c>
      <c r="V9" s="8"/>
      <c r="W9" s="7">
        <v>0</v>
      </c>
      <c r="X9" s="7"/>
      <c r="Y9" s="7" t="s">
        <v>79</v>
      </c>
      <c r="Z9" s="7" t="s">
        <v>95</v>
      </c>
    </row>
    <row r="10" spans="1:26" x14ac:dyDescent="0.25">
      <c r="A10" t="s">
        <v>55</v>
      </c>
      <c r="G10" t="s">
        <v>21</v>
      </c>
      <c r="T10" s="15" t="s">
        <v>6</v>
      </c>
      <c r="U10" s="8"/>
      <c r="V10" s="8"/>
      <c r="W10" s="7">
        <v>0</v>
      </c>
      <c r="X10" s="7"/>
      <c r="Y10" s="7" t="s">
        <v>96</v>
      </c>
      <c r="Z10" s="7" t="s">
        <v>97</v>
      </c>
    </row>
    <row r="11" spans="1:26" x14ac:dyDescent="0.25">
      <c r="A11" t="s">
        <v>56</v>
      </c>
      <c r="M11" t="s">
        <v>21</v>
      </c>
      <c r="T11" s="15" t="s">
        <v>12</v>
      </c>
      <c r="U11" s="8"/>
      <c r="V11" s="8"/>
      <c r="W11" s="7">
        <v>0</v>
      </c>
      <c r="X11" s="7"/>
      <c r="Y11" s="7" t="s">
        <v>96</v>
      </c>
      <c r="Z11" s="7" t="s">
        <v>98</v>
      </c>
    </row>
    <row r="12" spans="1:26" x14ac:dyDescent="0.25">
      <c r="A12" t="s">
        <v>57</v>
      </c>
      <c r="R12" t="s">
        <v>21</v>
      </c>
      <c r="T12" s="7" t="s">
        <v>17</v>
      </c>
      <c r="U12" s="8"/>
      <c r="V12" s="8"/>
      <c r="W12" s="11">
        <v>8.4769999999999995E-7</v>
      </c>
      <c r="X12" s="11"/>
      <c r="Y12" s="7" t="s">
        <v>80</v>
      </c>
      <c r="Z12" s="7" t="s">
        <v>78</v>
      </c>
    </row>
    <row r="13" spans="1:26" x14ac:dyDescent="0.25">
      <c r="A13" t="s">
        <v>58</v>
      </c>
      <c r="R13" t="s">
        <v>21</v>
      </c>
      <c r="T13" s="7" t="s">
        <v>17</v>
      </c>
      <c r="U13" s="8"/>
      <c r="V13" s="8"/>
      <c r="W13" s="11">
        <v>8.4769999999999995E-7</v>
      </c>
      <c r="X13" s="11"/>
      <c r="Y13" s="7" t="s">
        <v>80</v>
      </c>
      <c r="Z13" s="7" t="s">
        <v>78</v>
      </c>
    </row>
    <row r="14" spans="1:26" x14ac:dyDescent="0.25">
      <c r="A14" t="s">
        <v>59</v>
      </c>
      <c r="F14" t="s">
        <v>23</v>
      </c>
      <c r="T14" s="7" t="s">
        <v>5</v>
      </c>
      <c r="U14" s="8"/>
      <c r="V14" s="8"/>
      <c r="W14" s="7">
        <v>7.5430000000000001E-5</v>
      </c>
      <c r="X14" s="7"/>
      <c r="Y14" s="7" t="s">
        <v>80</v>
      </c>
      <c r="Z14" s="7" t="s">
        <v>81</v>
      </c>
    </row>
    <row r="15" spans="1:26" x14ac:dyDescent="0.25">
      <c r="A15" t="s">
        <v>63</v>
      </c>
      <c r="D15" t="s">
        <v>24</v>
      </c>
      <c r="T15" s="7" t="s">
        <v>3</v>
      </c>
      <c r="U15" s="8"/>
      <c r="V15" s="8"/>
      <c r="W15" s="7">
        <v>1.3560000000000001E-5</v>
      </c>
      <c r="X15" s="7"/>
      <c r="Y15" s="7" t="s">
        <v>80</v>
      </c>
      <c r="Z15" s="7" t="s">
        <v>82</v>
      </c>
    </row>
    <row r="16" spans="1:26" x14ac:dyDescent="0.25">
      <c r="A16" t="s">
        <v>64</v>
      </c>
      <c r="J16" t="s">
        <v>21</v>
      </c>
      <c r="T16" s="7" t="s">
        <v>9</v>
      </c>
      <c r="U16" s="8"/>
      <c r="V16" s="8"/>
      <c r="W16" s="7">
        <v>3.1100000000000002E-4</v>
      </c>
      <c r="X16" s="7"/>
      <c r="Y16" s="7" t="s">
        <v>80</v>
      </c>
      <c r="Z16" s="7" t="s">
        <v>83</v>
      </c>
    </row>
    <row r="17" spans="1:27" x14ac:dyDescent="0.25">
      <c r="A17" t="s">
        <v>65</v>
      </c>
      <c r="K17" t="s">
        <v>23</v>
      </c>
      <c r="T17" s="7" t="s">
        <v>10</v>
      </c>
      <c r="U17" s="8"/>
      <c r="V17" s="8"/>
      <c r="W17" s="7">
        <v>0</v>
      </c>
      <c r="X17" s="7"/>
      <c r="Y17" s="7" t="s">
        <v>80</v>
      </c>
      <c r="Z17" s="7" t="s">
        <v>84</v>
      </c>
    </row>
    <row r="18" spans="1:27" x14ac:dyDescent="0.25">
      <c r="A18" t="s">
        <v>66</v>
      </c>
      <c r="O18" t="s">
        <v>21</v>
      </c>
      <c r="T18" s="7" t="s">
        <v>14</v>
      </c>
      <c r="U18" s="8"/>
      <c r="V18" s="8"/>
      <c r="W18" s="7">
        <v>1.6949999999999999E-5</v>
      </c>
      <c r="X18" s="7"/>
      <c r="Y18" s="7" t="s">
        <v>80</v>
      </c>
      <c r="Z18" s="7" t="s">
        <v>85</v>
      </c>
    </row>
    <row r="19" spans="1:27" x14ac:dyDescent="0.25">
      <c r="A19" t="s">
        <v>67</v>
      </c>
      <c r="P19" t="s">
        <v>21</v>
      </c>
      <c r="T19" s="7" t="s">
        <v>15</v>
      </c>
      <c r="U19" s="8"/>
      <c r="V19" s="8"/>
      <c r="W19" s="7">
        <v>0</v>
      </c>
      <c r="X19" s="7"/>
      <c r="Y19" s="7" t="s">
        <v>80</v>
      </c>
      <c r="Z19" s="7" t="s">
        <v>86</v>
      </c>
    </row>
    <row r="20" spans="1:27" x14ac:dyDescent="0.25">
      <c r="A20" t="s">
        <v>68</v>
      </c>
      <c r="C20" t="s">
        <v>21</v>
      </c>
      <c r="T20" s="7" t="s">
        <v>2</v>
      </c>
      <c r="U20" s="8"/>
      <c r="V20" s="8"/>
      <c r="W20" s="7">
        <v>1.6650000000000002E-5</v>
      </c>
      <c r="X20" s="7"/>
      <c r="Y20" s="7" t="s">
        <v>80</v>
      </c>
      <c r="Z20" s="12" t="s">
        <v>87</v>
      </c>
    </row>
    <row r="21" spans="1:27" x14ac:dyDescent="0.25">
      <c r="A21" t="s">
        <v>70</v>
      </c>
      <c r="E21" t="s">
        <v>23</v>
      </c>
      <c r="T21" s="10" t="s">
        <v>4</v>
      </c>
      <c r="U21" s="8"/>
      <c r="V21" s="8"/>
      <c r="W21" s="7"/>
      <c r="X21" s="7"/>
      <c r="Y21" s="7"/>
      <c r="Z21" s="7"/>
    </row>
    <row r="22" spans="1:27" x14ac:dyDescent="0.25">
      <c r="A22" t="s">
        <v>71</v>
      </c>
      <c r="H22" t="s">
        <v>23</v>
      </c>
      <c r="I22" t="s">
        <v>22</v>
      </c>
      <c r="T22" s="7" t="s">
        <v>8</v>
      </c>
      <c r="U22" s="8" t="s">
        <v>7</v>
      </c>
      <c r="V22" s="8"/>
      <c r="W22" s="7">
        <v>9.3230000000000004E-6</v>
      </c>
      <c r="X22" s="7">
        <v>1.4409999999999999E-5</v>
      </c>
      <c r="Y22" s="7">
        <f>X22*W22</f>
        <v>1.3434443000000001E-10</v>
      </c>
      <c r="Z22" s="7" t="s">
        <v>90</v>
      </c>
      <c r="AA22" t="s">
        <v>91</v>
      </c>
    </row>
    <row r="23" spans="1:27" x14ac:dyDescent="0.25">
      <c r="A23" t="s">
        <v>72</v>
      </c>
      <c r="L23" t="s">
        <v>21</v>
      </c>
      <c r="T23" s="7" t="s">
        <v>11</v>
      </c>
      <c r="U23" s="8"/>
      <c r="V23" s="8"/>
      <c r="W23" s="7">
        <v>3.3900000000000002E-6</v>
      </c>
      <c r="X23" s="7"/>
      <c r="Y23" s="7" t="s">
        <v>80</v>
      </c>
      <c r="Z23" s="12" t="s">
        <v>88</v>
      </c>
    </row>
    <row r="24" spans="1:27" x14ac:dyDescent="0.25">
      <c r="A24" t="s">
        <v>73</v>
      </c>
      <c r="N24" t="s">
        <v>21</v>
      </c>
      <c r="T24" s="7" t="s">
        <v>13</v>
      </c>
      <c r="U24" s="8"/>
      <c r="V24" s="8"/>
      <c r="W24" s="7">
        <v>1.3560000000000001E-5</v>
      </c>
      <c r="X24" s="7"/>
      <c r="Y24" s="7" t="s">
        <v>80</v>
      </c>
      <c r="Z24" s="7" t="s">
        <v>89</v>
      </c>
    </row>
    <row r="25" spans="1:27" x14ac:dyDescent="0.25">
      <c r="T25" s="7"/>
      <c r="U25" s="8"/>
      <c r="V25" s="8"/>
      <c r="W25" s="13">
        <v>20.05115584</v>
      </c>
      <c r="X25" s="13"/>
      <c r="Y25" s="7"/>
      <c r="Z25" s="7"/>
    </row>
  </sheetData>
  <hyperlinks>
    <hyperlink ref="Z20" r:id="rId1"/>
    <hyperlink ref="Z2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Salida_R</vt:lpstr>
      <vt:lpstr>Filtrada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CBM</cp:lastModifiedBy>
  <dcterms:created xsi:type="dcterms:W3CDTF">2026-04-09T12:36:42Z</dcterms:created>
  <dcterms:modified xsi:type="dcterms:W3CDTF">2026-04-27T15:09:11Z</dcterms:modified>
</cp:coreProperties>
</file>