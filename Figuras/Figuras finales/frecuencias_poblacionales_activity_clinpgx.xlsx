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"/>
    </mc:Choice>
  </mc:AlternateContent>
  <bookViews>
    <workbookView xWindow="0" yWindow="0" windowWidth="20445" windowHeight="85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10" i="1"/>
  <c r="C8" i="1"/>
  <c r="C6" i="1"/>
  <c r="C4" i="1"/>
  <c r="C2" i="1"/>
</calcChain>
</file>

<file path=xl/sharedStrings.xml><?xml version="1.0" encoding="utf-8"?>
<sst xmlns="http://schemas.openxmlformats.org/spreadsheetml/2006/main" count="18" uniqueCount="18">
  <si>
    <t>Activity</t>
  </si>
  <si>
    <t>CYP2C9</t>
  </si>
  <si>
    <t>CYP2D6</t>
  </si>
  <si>
    <t>4.0</t>
  </si>
  <si>
    <t>3.0</t>
  </si>
  <si>
    <t>2.75</t>
  </si>
  <si>
    <t>2.25</t>
  </si>
  <si>
    <t>2.5</t>
  </si>
  <si>
    <t>2.0</t>
  </si>
  <si>
    <t>1.75</t>
  </si>
  <si>
    <t>1.25</t>
  </si>
  <si>
    <t>1.5</t>
  </si>
  <si>
    <t>1.0</t>
  </si>
  <si>
    <t>0.75</t>
  </si>
  <si>
    <t>0.25</t>
  </si>
  <si>
    <t>0.5</t>
  </si>
  <si>
    <t>0.0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</si>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</sst>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0"/>
  </numFmts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1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E12" sqref="E12"/>
    </sheetView>
  </sheetViews>
  <sheetFormatPr baseColWidth="10" defaultRowHeight="15" x14ac:dyDescent="0.25"/>
  <sheetData>
    <row r="1" spans="1:9" x14ac:dyDescent="0.25">
      <c r="A1" t="s">
        <v>0</v>
      </c>
      <c r="B1" t="s">
        <v>2</v>
      </c>
      <c r="C1" t="s">
        <v>1</v>
      </c>
    </row>
    <row r="2" spans="1:9" ht="15.75" x14ac:dyDescent="0.25">
      <c r="A2" s="1" t="s">
        <v>16</v>
      </c>
      <c r="B2" s="3">
        <v>6.5024785999999999</v>
      </c>
      <c r="C2">
        <f>100*0.0057798154</f>
        <v>0.57798154000000002</v>
      </c>
      <c r="G2" s="1"/>
      <c r="H2" s="3"/>
    </row>
    <row r="3" spans="1:9" ht="15.75" x14ac:dyDescent="0.25">
      <c r="A3" s="1" t="s">
        <v>14</v>
      </c>
      <c r="B3" s="3">
        <v>7.0701040000000006</v>
      </c>
      <c r="C3">
        <v>0</v>
      </c>
      <c r="G3" s="1"/>
      <c r="H3" s="3"/>
    </row>
    <row r="4" spans="1:9" ht="15.75" x14ac:dyDescent="0.25">
      <c r="A4" s="1" t="s">
        <v>15</v>
      </c>
      <c r="B4" s="3">
        <v>2.3932345000000002</v>
      </c>
      <c r="C4">
        <f>100*0.019907156</f>
        <v>1.9907155999999999</v>
      </c>
      <c r="G4" s="1"/>
      <c r="H4" s="3"/>
    </row>
    <row r="5" spans="1:9" ht="15.75" x14ac:dyDescent="0.25">
      <c r="A5" s="1" t="s">
        <v>13</v>
      </c>
      <c r="B5" s="3">
        <v>0.25628313999999996</v>
      </c>
      <c r="C5">
        <v>0</v>
      </c>
      <c r="G5" s="1"/>
      <c r="H5" s="3"/>
      <c r="I5" s="3"/>
    </row>
    <row r="6" spans="1:9" ht="15.75" x14ac:dyDescent="0.25">
      <c r="A6" s="1" t="s">
        <v>12</v>
      </c>
      <c r="B6" s="3">
        <v>28.533315999999999</v>
      </c>
      <c r="C6">
        <f>100*0.13767911</f>
        <v>13.767911</v>
      </c>
      <c r="G6" s="1"/>
      <c r="H6" s="3"/>
    </row>
    <row r="7" spans="1:9" ht="15.75" x14ac:dyDescent="0.25">
      <c r="A7" s="1" t="s">
        <v>10</v>
      </c>
      <c r="B7" s="3">
        <v>15.507403</v>
      </c>
      <c r="C7">
        <v>0</v>
      </c>
      <c r="G7" s="1"/>
      <c r="H7" s="3"/>
    </row>
    <row r="8" spans="1:9" ht="15.75" x14ac:dyDescent="0.25">
      <c r="A8" s="1" t="s">
        <v>11</v>
      </c>
      <c r="B8" s="3">
        <v>1.0339902000000001</v>
      </c>
      <c r="C8">
        <f>100*0.20758142</f>
        <v>20.758141999999999</v>
      </c>
      <c r="G8" s="1"/>
      <c r="H8" s="3"/>
    </row>
    <row r="9" spans="1:9" ht="15.75" x14ac:dyDescent="0.25">
      <c r="A9" s="1" t="s">
        <v>9</v>
      </c>
      <c r="B9" s="3">
        <v>0</v>
      </c>
      <c r="C9">
        <v>0</v>
      </c>
      <c r="G9" s="1"/>
      <c r="H9" s="3"/>
    </row>
    <row r="10" spans="1:9" ht="15.75" x14ac:dyDescent="0.25">
      <c r="A10" s="1" t="s">
        <v>8</v>
      </c>
      <c r="B10" s="3">
        <v>32.166474999999998</v>
      </c>
      <c r="C10">
        <f>100*0.62845254</f>
        <v>62.845253999999997</v>
      </c>
      <c r="G10" s="1"/>
      <c r="H10" s="3"/>
      <c r="I10" s="3"/>
    </row>
    <row r="11" spans="1:9" ht="15.75" x14ac:dyDescent="0.25">
      <c r="A11" s="1" t="s">
        <v>6</v>
      </c>
      <c r="B11" s="3">
        <v>0.48041250000000002</v>
      </c>
      <c r="C11">
        <v>0</v>
      </c>
      <c r="G11" s="1"/>
      <c r="H11" s="3"/>
    </row>
    <row r="12" spans="1:9" ht="15.75" x14ac:dyDescent="0.25">
      <c r="A12" s="1" t="s">
        <v>7</v>
      </c>
      <c r="B12" s="3">
        <v>3.2032560000000002E-2</v>
      </c>
      <c r="C12">
        <v>0</v>
      </c>
      <c r="G12" s="1"/>
      <c r="H12" s="3"/>
    </row>
    <row r="13" spans="1:9" ht="15.75" x14ac:dyDescent="0.25">
      <c r="A13" s="1" t="s">
        <v>5</v>
      </c>
      <c r="B13" s="3">
        <v>0</v>
      </c>
      <c r="C13">
        <v>0</v>
      </c>
      <c r="G13" s="1"/>
      <c r="H13" s="3"/>
    </row>
    <row r="14" spans="1:9" ht="15.75" x14ac:dyDescent="0.25">
      <c r="A14" s="1" t="s">
        <v>4</v>
      </c>
      <c r="B14" s="3">
        <v>2.02430669</v>
      </c>
      <c r="C14">
        <v>0</v>
      </c>
      <c r="G14" s="1"/>
      <c r="H14" s="3"/>
    </row>
    <row r="15" spans="1:9" ht="15.75" x14ac:dyDescent="0.25">
      <c r="A15" s="1">
        <v>3.25</v>
      </c>
      <c r="B15" s="3">
        <v>4.6782166E-2</v>
      </c>
      <c r="C15">
        <v>0</v>
      </c>
      <c r="G15" s="1"/>
      <c r="H15" s="3"/>
    </row>
    <row r="16" spans="1:9" ht="15.75" x14ac:dyDescent="0.25">
      <c r="A16" s="1">
        <v>3.5</v>
      </c>
      <c r="B16" s="3">
        <v>3.1193038000000002E-3</v>
      </c>
      <c r="C16">
        <v>0</v>
      </c>
      <c r="G16" s="1"/>
      <c r="H16" s="3"/>
    </row>
    <row r="17" spans="1:8" ht="15.75" x14ac:dyDescent="0.25">
      <c r="A17" s="1">
        <v>3.75</v>
      </c>
      <c r="B17" s="3">
        <v>0</v>
      </c>
      <c r="C17">
        <v>0</v>
      </c>
      <c r="G17" s="1"/>
      <c r="H17" s="3"/>
    </row>
    <row r="18" spans="1:8" ht="15.75" x14ac:dyDescent="0.25">
      <c r="A18" s="1" t="s">
        <v>3</v>
      </c>
      <c r="B18" s="3">
        <v>0.21876868999999999</v>
      </c>
      <c r="C18">
        <v>0</v>
      </c>
      <c r="G18" s="1"/>
      <c r="H18" s="3"/>
    </row>
    <row r="19" spans="1:8" ht="15.75" x14ac:dyDescent="0.25">
      <c r="A19" s="1">
        <v>5</v>
      </c>
      <c r="B19" s="3">
        <v>5.8472541999999997E-3</v>
      </c>
      <c r="C19">
        <v>0</v>
      </c>
      <c r="G19" s="1"/>
      <c r="H19" s="3"/>
    </row>
    <row r="20" spans="1:8" ht="15.75" x14ac:dyDescent="0.25">
      <c r="A20" s="1">
        <v>6</v>
      </c>
      <c r="B20" s="3">
        <v>2.8470034999999999E-4</v>
      </c>
      <c r="C20">
        <v>0</v>
      </c>
      <c r="G20" s="1"/>
      <c r="H20" s="3"/>
    </row>
    <row r="21" spans="1:8" ht="15.75" x14ac:dyDescent="0.25">
      <c r="A21" s="1" t="s">
        <v>17</v>
      </c>
      <c r="B21" s="3">
        <v>3.7251560000000001</v>
      </c>
      <c r="C21">
        <f>100*0.00059991</f>
        <v>5.9991000000000003E-2</v>
      </c>
      <c r="G21" s="1"/>
      <c r="H21" s="3"/>
    </row>
    <row r="22" spans="1:8" ht="15.75" x14ac:dyDescent="0.25">
      <c r="B22" s="3"/>
      <c r="G22" s="1"/>
      <c r="H22" s="3"/>
    </row>
    <row r="23" spans="1:8" ht="15.75" x14ac:dyDescent="0.25">
      <c r="G23" s="1"/>
      <c r="H23" s="3"/>
    </row>
    <row r="25" spans="1:8" x14ac:dyDescent="0.25">
      <c r="H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2026-05-13T14:50:07Z</dcterms:created>
  <dcterms:modified xsi:type="dcterms:W3CDTF">2026-05-13T15:00:18Z</dcterms:modified>
</cp:coreProperties>
</file>