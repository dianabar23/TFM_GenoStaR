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8800" windowHeight="110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2" i="1"/>
  <c r="E7" i="1"/>
  <c r="E6" i="1"/>
  <c r="E5" i="1"/>
  <c r="E4" i="1"/>
  <c r="D6" i="1"/>
  <c r="D5" i="1"/>
  <c r="D4" i="1"/>
  <c r="D3" i="1"/>
  <c r="D2" i="1"/>
  <c r="C7" i="1"/>
  <c r="C6" i="1"/>
  <c r="C5" i="1"/>
  <c r="C4" i="1"/>
  <c r="C3" i="1"/>
  <c r="C2" i="1"/>
  <c r="B6" i="1"/>
  <c r="B5" i="1"/>
  <c r="B4" i="1"/>
</calcChain>
</file>

<file path=xl/sharedStrings.xml><?xml version="1.0" encoding="utf-8"?>
<sst xmlns="http://schemas.openxmlformats.org/spreadsheetml/2006/main" count="12" uniqueCount="12">
  <si>
    <t>Ultrarrapid</t>
  </si>
  <si>
    <t>Rapid</t>
  </si>
  <si>
    <t>Normal</t>
  </si>
  <si>
    <t xml:space="preserve">Intermediate </t>
  </si>
  <si>
    <t xml:space="preserve">Poor </t>
  </si>
  <si>
    <t>CYP3A5</t>
  </si>
  <si>
    <t>CYP2B6</t>
  </si>
  <si>
    <t>CYP2C19</t>
  </si>
  <si>
    <t>CYP2C9</t>
  </si>
  <si>
    <t>CYP2D6</t>
  </si>
  <si>
    <t xml:space="preserve">Indeterminate </t>
  </si>
  <si>
    <t>Metabolizador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</si>
</sst>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14" sqref="I14"/>
    </sheetView>
  </sheetViews>
  <sheetFormatPr baseColWidth="10" defaultRowHeight="15" x14ac:dyDescent="0.25"/>
  <cols>
    <col min="2" max="2" width="15.28515625" customWidth="1"/>
  </cols>
  <sheetData>
    <row r="1" spans="1:6" x14ac:dyDescent="0.25">
      <c r="A1" t="s">
        <v>11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0</v>
      </c>
      <c r="B2">
        <v>0</v>
      </c>
      <c r="C2">
        <f>100*0.0016704409</f>
        <v>0.16704408999999998</v>
      </c>
      <c r="D2">
        <f>100*0.04641379</f>
        <v>4.6413790000000006</v>
      </c>
      <c r="E2">
        <v>0</v>
      </c>
      <c r="F2">
        <f>100*0.0233114136435</f>
        <v>2.3311413643500001</v>
      </c>
    </row>
    <row r="3" spans="1:6" x14ac:dyDescent="0.25">
      <c r="A3" t="s">
        <v>1</v>
      </c>
      <c r="B3">
        <v>0</v>
      </c>
      <c r="C3">
        <f>100*0.05357082</f>
        <v>5.3570820000000001</v>
      </c>
      <c r="D3">
        <f>100*0.2711846</f>
        <v>27.118459999999999</v>
      </c>
      <c r="E3">
        <v>0</v>
      </c>
      <c r="F3">
        <v>0</v>
      </c>
    </row>
    <row r="4" spans="1:6" x14ac:dyDescent="0.25">
      <c r="A4" t="s">
        <v>2</v>
      </c>
      <c r="B4">
        <f>0.005491413*100</f>
        <v>0.54914129999999994</v>
      </c>
      <c r="C4">
        <f>100*0.42950228</f>
        <v>42.950228000000003</v>
      </c>
      <c r="D4">
        <f>100*0.39611652</f>
        <v>39.611651999999999</v>
      </c>
      <c r="E4">
        <f>100*0.62845254</f>
        <v>62.845253999999997</v>
      </c>
      <c r="F4">
        <f>100*0.491882807</f>
        <v>49.1882807</v>
      </c>
    </row>
    <row r="5" spans="1:6" x14ac:dyDescent="0.25">
      <c r="A5" t="s">
        <v>3</v>
      </c>
      <c r="B5">
        <f>0.13722531*100</f>
        <v>13.722530999999998</v>
      </c>
      <c r="C5">
        <f>100*0.37952113</f>
        <v>37.952112999999997</v>
      </c>
      <c r="D5">
        <f>100*0.2622036074</f>
        <v>26.220360739999997</v>
      </c>
      <c r="E5">
        <f>100*0.34526053</f>
        <v>34.526053000000005</v>
      </c>
      <c r="F5">
        <f>100*0.3825293764</f>
        <v>38.252937639999999</v>
      </c>
    </row>
    <row r="6" spans="1:6" x14ac:dyDescent="0.25">
      <c r="A6" t="s">
        <v>4</v>
      </c>
      <c r="B6">
        <f>0.85728335*100</f>
        <v>85.728335000000001</v>
      </c>
      <c r="C6">
        <f>100*0.07428478</f>
        <v>7.4284779999999992</v>
      </c>
      <c r="D6">
        <f>100*0.02408148183</f>
        <v>2.4081481830000002</v>
      </c>
      <c r="E6">
        <f>100*0.0256869714</f>
        <v>2.5686971400000003</v>
      </c>
      <c r="F6">
        <f>100*0.065024786</f>
        <v>6.5024785999999999</v>
      </c>
    </row>
    <row r="7" spans="1:6" x14ac:dyDescent="0.25">
      <c r="A7" t="s">
        <v>10</v>
      </c>
      <c r="B7">
        <v>0</v>
      </c>
      <c r="C7">
        <f>100*0.06145065</f>
        <v>6.1450650000000007</v>
      </c>
      <c r="D7">
        <v>0</v>
      </c>
      <c r="E7">
        <f>100*0.00059991</f>
        <v>5.9991000000000003E-2</v>
      </c>
      <c r="F7">
        <f>100*0.03725156</f>
        <v>3.7251560000000001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2026-05-11T13:09:31Z</dcterms:created>
  <dcterms:modified xsi:type="dcterms:W3CDTF">2026-05-11T14:21:55Z</dcterms:modified>
</cp:coreProperties>
</file>