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Y:\ctoma\Fobos\Proyecto_Diana\TFM_GenoStaR\Fusion_omicas\Epi\"/>
    </mc:Choice>
  </mc:AlternateContent>
  <bookViews>
    <workbookView xWindow="0" yWindow="0" windowWidth="27135" windowHeight="9660" activeTab="2"/>
  </bookViews>
  <sheets>
    <sheet name="DMPs " sheetId="1" r:id="rId1"/>
    <sheet name="Zona DMR" sheetId="3" r:id="rId2"/>
    <sheet name="Ballon plot horizontal " sheetId="2" r:id="rId3"/>
  </sheets>
  <definedNames>
    <definedName name="_xlnm._FilterDatabase" localSheetId="0" hidden="1">'DMPs '!$A$1:$I$1</definedName>
  </definedNames>
  <calcPr calcId="162913"/>
</workbook>
</file>

<file path=xl/calcChain.xml><?xml version="1.0" encoding="utf-8"?>
<calcChain xmlns="http://schemas.openxmlformats.org/spreadsheetml/2006/main">
  <c r="Y2" i="2" l="1"/>
  <c r="X2" i="2"/>
  <c r="W2" i="2"/>
  <c r="V2" i="2"/>
  <c r="U2" i="2"/>
  <c r="T2" i="2"/>
  <c r="S2" i="2"/>
  <c r="R2" i="2"/>
  <c r="Q2" i="2"/>
  <c r="P2" i="2"/>
  <c r="O2" i="2"/>
  <c r="N2" i="2"/>
  <c r="M2" i="2"/>
  <c r="L2" i="2"/>
  <c r="K2" i="2"/>
  <c r="J2" i="2"/>
  <c r="I2" i="2"/>
  <c r="H2" i="2"/>
  <c r="G2" i="2"/>
  <c r="F2" i="2"/>
  <c r="E2" i="2"/>
  <c r="D2" i="2"/>
  <c r="C2" i="2"/>
  <c r="B2" i="2"/>
</calcChain>
</file>

<file path=xl/sharedStrings.xml><?xml version="1.0" encoding="utf-8"?>
<sst xmlns="http://schemas.openxmlformats.org/spreadsheetml/2006/main" count="173" uniqueCount="114">
  <si>
    <t>CpG</t>
  </si>
  <si>
    <t>logFC</t>
  </si>
  <si>
    <t>AveExpr</t>
  </si>
  <si>
    <t>t</t>
  </si>
  <si>
    <t>P.Value</t>
  </si>
  <si>
    <t>adj.P.Val</t>
  </si>
  <si>
    <t>B</t>
  </si>
  <si>
    <t>cg12694063</t>
  </si>
  <si>
    <t>cg13596235</t>
  </si>
  <si>
    <t>cg02084114</t>
  </si>
  <si>
    <t>cg04706801</t>
  </si>
  <si>
    <t>cg05008948</t>
  </si>
  <si>
    <t>cg18349022</t>
  </si>
  <si>
    <t>cg16130523</t>
  </si>
  <si>
    <t>cg18504691</t>
  </si>
  <si>
    <t>cg00430037</t>
  </si>
  <si>
    <t>cg11448126</t>
  </si>
  <si>
    <t>cg11447966</t>
  </si>
  <si>
    <t>cg12290671</t>
  </si>
  <si>
    <t>cg19823433</t>
  </si>
  <si>
    <t>cg15317587</t>
  </si>
  <si>
    <t>cg07375256</t>
  </si>
  <si>
    <t>cg08698715</t>
  </si>
  <si>
    <t>cg11448858</t>
  </si>
  <si>
    <t>cg24189230</t>
  </si>
  <si>
    <t>cg21645290</t>
  </si>
  <si>
    <t>cg24024660</t>
  </si>
  <si>
    <t>cg12457529</t>
  </si>
  <si>
    <t>cg06539276</t>
  </si>
  <si>
    <t>cg04083712</t>
  </si>
  <si>
    <t>cg05065466</t>
  </si>
  <si>
    <t>cg05386570</t>
  </si>
  <si>
    <t>cg03025175</t>
  </si>
  <si>
    <t>cg13627256</t>
  </si>
  <si>
    <t>cg03133378</t>
  </si>
  <si>
    <t>cg11449106</t>
  </si>
  <si>
    <t>cg15442105</t>
  </si>
  <si>
    <t>cg26084439</t>
  </si>
  <si>
    <t>cg14913925</t>
  </si>
  <si>
    <t>cg23836139</t>
  </si>
  <si>
    <t>cg05654672</t>
  </si>
  <si>
    <t>cg11448634</t>
  </si>
  <si>
    <t>cg05710204</t>
  </si>
  <si>
    <t>cg03545083</t>
  </si>
  <si>
    <t>cg13706395</t>
  </si>
  <si>
    <t>cg12717668</t>
  </si>
  <si>
    <t>cg05215729</t>
  </si>
  <si>
    <t>cg06459378</t>
  </si>
  <si>
    <t>cg20332725</t>
  </si>
  <si>
    <t>cg15308666</t>
  </si>
  <si>
    <t>cg26553682</t>
  </si>
  <si>
    <t>cg11448426</t>
  </si>
  <si>
    <t>cg04858082</t>
  </si>
  <si>
    <t>cg18873396</t>
  </si>
  <si>
    <t>cg19796330</t>
  </si>
  <si>
    <t>cg07038477</t>
  </si>
  <si>
    <t>cg11447185</t>
  </si>
  <si>
    <t>cg26770475</t>
  </si>
  <si>
    <t>cg18678704</t>
  </si>
  <si>
    <t>cg12919795</t>
  </si>
  <si>
    <t>cg23146534</t>
  </si>
  <si>
    <t>cg16459391</t>
  </si>
  <si>
    <t>cg11447328</t>
  </si>
  <si>
    <t>cg01079658</t>
  </si>
  <si>
    <t>cg21950525</t>
  </si>
  <si>
    <t>cg13730193</t>
  </si>
  <si>
    <t>cg14022610</t>
  </si>
  <si>
    <t>cg16879596</t>
  </si>
  <si>
    <t>cg14876685</t>
  </si>
  <si>
    <t>cg04681458</t>
  </si>
  <si>
    <t>cg01598285</t>
  </si>
  <si>
    <t>cg12994502</t>
  </si>
  <si>
    <t>cg25640893</t>
  </si>
  <si>
    <t>cg07121182</t>
  </si>
  <si>
    <t>cg01206630</t>
  </si>
  <si>
    <t>cg14682846</t>
  </si>
  <si>
    <t>cg00733516</t>
  </si>
  <si>
    <t>cg18231159</t>
  </si>
  <si>
    <t>cg13753316</t>
  </si>
  <si>
    <t>cg11448047</t>
  </si>
  <si>
    <t>cg02498579</t>
  </si>
  <si>
    <t>cg22758700</t>
  </si>
  <si>
    <t>cg18895155</t>
  </si>
  <si>
    <t>cg10684714</t>
  </si>
  <si>
    <t>cg12003473</t>
  </si>
  <si>
    <t>cg13636404</t>
  </si>
  <si>
    <t>cg09757684</t>
  </si>
  <si>
    <t>cg24554054</t>
  </si>
  <si>
    <t>cg24012595</t>
  </si>
  <si>
    <t>cg12108522</t>
  </si>
  <si>
    <t>cg15071593</t>
  </si>
  <si>
    <t>cg11448789</t>
  </si>
  <si>
    <t>cg07484673</t>
  </si>
  <si>
    <t>cg06769082</t>
  </si>
  <si>
    <t>cg14528374</t>
  </si>
  <si>
    <t>cg25432774</t>
  </si>
  <si>
    <t>cg17693420</t>
  </si>
  <si>
    <t>cg06699303</t>
  </si>
  <si>
    <t>cg22813369</t>
  </si>
  <si>
    <t>cg07235253</t>
  </si>
  <si>
    <t>cg12536526</t>
  </si>
  <si>
    <t>cg27482856</t>
  </si>
  <si>
    <t>cg10502846</t>
  </si>
  <si>
    <t>cg08024409</t>
  </si>
  <si>
    <t>cg22622686</t>
  </si>
  <si>
    <t>cg24974772</t>
  </si>
  <si>
    <t>cg05165378</t>
  </si>
  <si>
    <t>cg05312305</t>
  </si>
  <si>
    <t>cg07688051</t>
  </si>
  <si>
    <t>cg08759689</t>
  </si>
  <si>
    <t>cg05867406</t>
  </si>
  <si>
    <t>Posicion</t>
  </si>
  <si>
    <t xml:space="preserve">p-valor </t>
  </si>
  <si>
    <t xml:space="preserve">log p-valor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</si>
</sst>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  <xf numFmtId="0" fontId="1" fillId="0" borderId="0" xfId="0" applyFont="1" applyFill="1" applyAlignment="1">
      <alignment horizontal="center"/>
    </xf>
    <xf numFmtId="0" fontId="0" fillId="0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D105"/>
  <sheetViews>
    <sheetView topLeftCell="A77" workbookViewId="0">
      <selection activeCell="A96" sqref="A96"/>
    </sheetView>
  </sheetViews>
  <sheetFormatPr baseColWidth="10" defaultColWidth="9.140625" defaultRowHeight="15" x14ac:dyDescent="0.25"/>
  <cols>
    <col min="1" max="1" width="15.7109375" customWidth="1"/>
    <col min="3" max="3" width="18.42578125" customWidth="1"/>
    <col min="6" max="6" width="13.85546875" customWidth="1"/>
    <col min="7" max="7" width="18.42578125" customWidth="1"/>
    <col min="8" max="8" width="16.42578125" customWidth="1"/>
    <col min="10" max="108" width="9.140625" style="4"/>
  </cols>
  <sheetData>
    <row r="1" spans="1:108" s="1" customFormat="1" x14ac:dyDescent="0.25">
      <c r="A1" s="1" t="s">
        <v>0</v>
      </c>
      <c r="B1" s="1" t="s">
        <v>111</v>
      </c>
      <c r="C1" s="1" t="s">
        <v>4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</row>
    <row r="2" spans="1:108" s="2" customFormat="1" x14ac:dyDescent="0.25">
      <c r="A2" t="s">
        <v>60</v>
      </c>
      <c r="B2">
        <v>99551568</v>
      </c>
      <c r="C2">
        <v>0.44495271491702859</v>
      </c>
      <c r="D2">
        <v>0.12728023164937891</v>
      </c>
      <c r="E2">
        <v>-4.9432695872367898</v>
      </c>
      <c r="F2">
        <v>0.76512907132202446</v>
      </c>
      <c r="G2">
        <v>0.44495271491702859</v>
      </c>
      <c r="H2">
        <v>0.83529528059787028</v>
      </c>
      <c r="I2">
        <v>-6.2202868879432716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</row>
    <row r="3" spans="1:108" s="2" customFormat="1" x14ac:dyDescent="0.25">
      <c r="A3" t="s">
        <v>38</v>
      </c>
      <c r="B3">
        <v>99551616</v>
      </c>
      <c r="C3">
        <v>0.1642288574151535</v>
      </c>
      <c r="D3">
        <v>0.1711555891249317</v>
      </c>
      <c r="E3">
        <v>-6.3214169814048251</v>
      </c>
      <c r="F3">
        <v>1.395290312230137</v>
      </c>
      <c r="G3">
        <v>0.1642288574151535</v>
      </c>
      <c r="H3">
        <v>0.53374378659924893</v>
      </c>
      <c r="I3">
        <v>-5.5552535252041739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</row>
    <row r="4" spans="1:108" s="2" customFormat="1" x14ac:dyDescent="0.25">
      <c r="A4" t="s">
        <v>48</v>
      </c>
      <c r="B4">
        <v>99551792</v>
      </c>
      <c r="C4">
        <v>0.31807838588239118</v>
      </c>
      <c r="D4">
        <v>7.994995524322758E-2</v>
      </c>
      <c r="E4">
        <v>-5.3383322683668357</v>
      </c>
      <c r="F4">
        <v>1.000513096611708</v>
      </c>
      <c r="G4">
        <v>0.31807838588239118</v>
      </c>
      <c r="H4">
        <v>0.78160888208397117</v>
      </c>
      <c r="I4">
        <v>-6.0168590811805771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</row>
    <row r="5" spans="1:108" s="2" customFormat="1" x14ac:dyDescent="0.25">
      <c r="A5" t="s">
        <v>65</v>
      </c>
      <c r="B5">
        <v>99551886</v>
      </c>
      <c r="C5">
        <v>0.49744440532369938</v>
      </c>
      <c r="D5">
        <v>4.5438097271804201E-2</v>
      </c>
      <c r="E5">
        <v>-6.3517198291872203</v>
      </c>
      <c r="F5">
        <v>0.67955854764170076</v>
      </c>
      <c r="G5">
        <v>0.49744440532369938</v>
      </c>
      <c r="H5">
        <v>0.87685115514685985</v>
      </c>
      <c r="I5">
        <v>-6.2808669944920066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</row>
    <row r="6" spans="1:108" s="2" customFormat="1" x14ac:dyDescent="0.25">
      <c r="A6" t="s">
        <v>30</v>
      </c>
      <c r="B6">
        <v>99552138</v>
      </c>
      <c r="C6">
        <v>6.9190681520731226E-2</v>
      </c>
      <c r="D6">
        <v>0.4912313182413543</v>
      </c>
      <c r="E6">
        <v>-7.3409934526097418</v>
      </c>
      <c r="F6">
        <v>1.825421406336901</v>
      </c>
      <c r="G6">
        <v>6.9190681520731226E-2</v>
      </c>
      <c r="H6">
        <v>0.29982628658983529</v>
      </c>
      <c r="I6">
        <v>-4.8824843996055574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</row>
    <row r="7" spans="1:108" x14ac:dyDescent="0.25">
      <c r="A7" t="s">
        <v>104</v>
      </c>
      <c r="B7">
        <v>99552251</v>
      </c>
      <c r="C7">
        <v>0.90010425265381033</v>
      </c>
      <c r="D7">
        <v>9.1056988570595212E-3</v>
      </c>
      <c r="E7">
        <v>-5.7963610045185394</v>
      </c>
      <c r="F7">
        <v>0.12566366066360671</v>
      </c>
      <c r="G7">
        <v>0.90010425265381033</v>
      </c>
      <c r="H7">
        <v>0.94044374826111254</v>
      </c>
      <c r="I7">
        <v>-6.4996962282822706</v>
      </c>
    </row>
    <row r="8" spans="1:108" x14ac:dyDescent="0.25">
      <c r="A8" t="s">
        <v>83</v>
      </c>
      <c r="B8">
        <v>99552256</v>
      </c>
      <c r="C8">
        <v>0.72366303876729199</v>
      </c>
      <c r="D8">
        <v>4.0736181924873903E-2</v>
      </c>
      <c r="E8">
        <v>-7.1265153319506611</v>
      </c>
      <c r="F8">
        <v>0.35398564054078191</v>
      </c>
      <c r="G8">
        <v>0.72366303876729199</v>
      </c>
      <c r="H8">
        <v>0.93305627374023525</v>
      </c>
      <c r="I8">
        <v>-6.4459253458083241</v>
      </c>
    </row>
    <row r="9" spans="1:108" x14ac:dyDescent="0.25">
      <c r="A9" t="s">
        <v>88</v>
      </c>
      <c r="B9">
        <v>99552475</v>
      </c>
      <c r="C9">
        <v>0.75181370921722923</v>
      </c>
      <c r="D9">
        <v>4.5946138231238207E-2</v>
      </c>
      <c r="E9">
        <v>-6.6781415470538938</v>
      </c>
      <c r="F9">
        <v>0.31661443118677968</v>
      </c>
      <c r="G9">
        <v>0.75181370921722923</v>
      </c>
      <c r="H9">
        <v>0.93305627374023525</v>
      </c>
      <c r="I9">
        <v>-6.4582279672725837</v>
      </c>
    </row>
    <row r="10" spans="1:108" x14ac:dyDescent="0.25">
      <c r="A10" t="s">
        <v>75</v>
      </c>
      <c r="B10">
        <v>99552488</v>
      </c>
      <c r="C10">
        <v>0.61516877301838457</v>
      </c>
      <c r="D10">
        <v>-6.0591968290824347E-2</v>
      </c>
      <c r="E10">
        <v>-5.4869639928233163</v>
      </c>
      <c r="F10">
        <v>-0.50337132948510621</v>
      </c>
      <c r="G10">
        <v>0.61516877301838457</v>
      </c>
      <c r="H10">
        <v>0.92721090425959418</v>
      </c>
      <c r="I10">
        <v>-6.3830725035324836</v>
      </c>
    </row>
    <row r="11" spans="1:108" x14ac:dyDescent="0.25">
      <c r="A11" t="s">
        <v>54</v>
      </c>
      <c r="B11">
        <v>99552617</v>
      </c>
      <c r="C11">
        <v>0.37149103750400209</v>
      </c>
      <c r="D11">
        <v>-7.7649043844380747E-2</v>
      </c>
      <c r="E11">
        <v>0.84794258199501349</v>
      </c>
      <c r="F11">
        <v>-0.8953754975210636</v>
      </c>
      <c r="G11">
        <v>0.37149103750400209</v>
      </c>
      <c r="H11">
        <v>0.79385509028927148</v>
      </c>
      <c r="I11">
        <v>-6.1143806080715351</v>
      </c>
    </row>
    <row r="12" spans="1:108" x14ac:dyDescent="0.25">
      <c r="A12" t="s">
        <v>78</v>
      </c>
      <c r="B12">
        <v>99552641</v>
      </c>
      <c r="C12">
        <v>0.64543486368868286</v>
      </c>
      <c r="D12">
        <v>-3.5622404052535757E-2</v>
      </c>
      <c r="E12">
        <v>-0.61704054193357682</v>
      </c>
      <c r="F12">
        <v>-0.46069953074295761</v>
      </c>
      <c r="G12">
        <v>0.64543486368868286</v>
      </c>
      <c r="H12">
        <v>0.9322948031058752</v>
      </c>
      <c r="I12">
        <v>-6.4032572435619199</v>
      </c>
    </row>
    <row r="13" spans="1:108" x14ac:dyDescent="0.25">
      <c r="A13" t="s">
        <v>105</v>
      </c>
      <c r="B13">
        <v>99553472</v>
      </c>
      <c r="C13">
        <v>0.90656054992326518</v>
      </c>
      <c r="D13">
        <v>7.1791451267793228E-3</v>
      </c>
      <c r="E13">
        <v>5.9928405826239768</v>
      </c>
      <c r="F13">
        <v>0.1175030210016199</v>
      </c>
      <c r="G13">
        <v>0.90656054992326518</v>
      </c>
      <c r="H13">
        <v>0.94044374826111254</v>
      </c>
      <c r="I13">
        <v>-6.5006707865696729</v>
      </c>
    </row>
    <row r="14" spans="1:108" x14ac:dyDescent="0.25">
      <c r="A14" t="s">
        <v>44</v>
      </c>
      <c r="B14">
        <v>99555900</v>
      </c>
      <c r="C14">
        <v>0.2384026609537879</v>
      </c>
      <c r="D14">
        <v>5.7607770599767537E-2</v>
      </c>
      <c r="E14">
        <v>4.5427961626911548</v>
      </c>
      <c r="F14">
        <v>1.1819561527217251</v>
      </c>
      <c r="G14">
        <v>0.2384026609537879</v>
      </c>
      <c r="H14">
        <v>0.65247044050510383</v>
      </c>
      <c r="I14">
        <v>-5.8233659463583702</v>
      </c>
    </row>
    <row r="15" spans="1:108" x14ac:dyDescent="0.25">
      <c r="A15" t="s">
        <v>70</v>
      </c>
      <c r="B15">
        <v>99557269</v>
      </c>
      <c r="C15">
        <v>0.58697798813447977</v>
      </c>
      <c r="D15">
        <v>-5.7040221487815942E-2</v>
      </c>
      <c r="E15">
        <v>4.0224639808039564</v>
      </c>
      <c r="F15">
        <v>-0.54396030290451247</v>
      </c>
      <c r="G15">
        <v>0.58697798813447977</v>
      </c>
      <c r="H15">
        <v>0.92721090425959418</v>
      </c>
      <c r="I15">
        <v>-6.3622185866220109</v>
      </c>
    </row>
    <row r="16" spans="1:108" x14ac:dyDescent="0.25">
      <c r="A16" t="s">
        <v>46</v>
      </c>
      <c r="B16">
        <v>99557972</v>
      </c>
      <c r="C16">
        <v>0.30147054159503539</v>
      </c>
      <c r="D16">
        <v>8.6366349154907054E-2</v>
      </c>
      <c r="E16">
        <v>-2.6564199536757571</v>
      </c>
      <c r="F16">
        <v>1.035534107010968</v>
      </c>
      <c r="G16">
        <v>0.30147054159503539</v>
      </c>
      <c r="H16">
        <v>0.77315288940270788</v>
      </c>
      <c r="I16">
        <v>-5.9819936685754191</v>
      </c>
    </row>
    <row r="17" spans="1:9" x14ac:dyDescent="0.25">
      <c r="A17" t="s">
        <v>85</v>
      </c>
      <c r="B17">
        <v>99558050</v>
      </c>
      <c r="C17">
        <v>0.73882618747605955</v>
      </c>
      <c r="D17">
        <v>3.1310853458239141E-2</v>
      </c>
      <c r="E17">
        <v>-7.825971179911507</v>
      </c>
      <c r="F17">
        <v>0.33379762288711828</v>
      </c>
      <c r="G17">
        <v>0.73882618747605955</v>
      </c>
      <c r="H17">
        <v>0.93305627374023525</v>
      </c>
      <c r="I17">
        <v>-6.4527413802848086</v>
      </c>
    </row>
    <row r="18" spans="1:9" x14ac:dyDescent="0.25">
      <c r="A18" t="s">
        <v>106</v>
      </c>
      <c r="B18">
        <v>99558116</v>
      </c>
      <c r="C18">
        <v>0.91258217291071775</v>
      </c>
      <c r="D18">
        <v>1.6447182061072381E-2</v>
      </c>
      <c r="E18">
        <v>-7.7704620556520601</v>
      </c>
      <c r="F18">
        <v>0.1098988880957035</v>
      </c>
      <c r="G18">
        <v>0.91258217291071775</v>
      </c>
      <c r="H18">
        <v>0.94044374826111254</v>
      </c>
      <c r="I18">
        <v>-6.5015200194801857</v>
      </c>
    </row>
    <row r="19" spans="1:9" x14ac:dyDescent="0.25">
      <c r="A19" t="s">
        <v>64</v>
      </c>
      <c r="B19">
        <v>99558144</v>
      </c>
      <c r="C19">
        <v>0.48946074889978991</v>
      </c>
      <c r="D19">
        <v>-0.15204372280954059</v>
      </c>
      <c r="E19">
        <v>-4.6500011685408982</v>
      </c>
      <c r="F19">
        <v>-0.69224108775661353</v>
      </c>
      <c r="G19">
        <v>0.48946074889978991</v>
      </c>
      <c r="H19">
        <v>0.87685115514685985</v>
      </c>
      <c r="I19">
        <v>-6.2723393784115711</v>
      </c>
    </row>
    <row r="20" spans="1:9" x14ac:dyDescent="0.25">
      <c r="A20" t="s">
        <v>63</v>
      </c>
      <c r="B20">
        <v>99558249</v>
      </c>
      <c r="C20">
        <v>0.47728608932855909</v>
      </c>
      <c r="D20">
        <v>-3.8681154726149282E-2</v>
      </c>
      <c r="E20">
        <v>-5.7183477556936237</v>
      </c>
      <c r="F20">
        <v>-0.71179943588894223</v>
      </c>
      <c r="G20">
        <v>0.47728608932855909</v>
      </c>
      <c r="H20">
        <v>0.87083777702052878</v>
      </c>
      <c r="I20">
        <v>-6.2588807504234536</v>
      </c>
    </row>
    <row r="21" spans="1:9" x14ac:dyDescent="0.25">
      <c r="A21" t="s">
        <v>92</v>
      </c>
      <c r="B21">
        <v>99558255</v>
      </c>
      <c r="C21">
        <v>0.78052209699874453</v>
      </c>
      <c r="D21">
        <v>3.9192025678168631E-2</v>
      </c>
      <c r="E21">
        <v>-5.3083329714390288</v>
      </c>
      <c r="F21">
        <v>0.27895434324018847</v>
      </c>
      <c r="G21">
        <v>0.78052209699874453</v>
      </c>
      <c r="H21">
        <v>0.93305627374023525</v>
      </c>
      <c r="I21">
        <v>-6.4692396685009861</v>
      </c>
    </row>
    <row r="22" spans="1:9" x14ac:dyDescent="0.25">
      <c r="A22" t="s">
        <v>27</v>
      </c>
      <c r="B22">
        <v>99558269</v>
      </c>
      <c r="C22">
        <v>6.2517421628819195E-2</v>
      </c>
      <c r="D22">
        <v>-6.8571715829711485E-2</v>
      </c>
      <c r="E22">
        <v>-4.0795214860713083</v>
      </c>
      <c r="F22">
        <v>-1.8713931020884711</v>
      </c>
      <c r="G22">
        <v>6.2517421628819195E-2</v>
      </c>
      <c r="H22">
        <v>0.28910741511084981</v>
      </c>
      <c r="I22">
        <v>-4.8002225992883707</v>
      </c>
    </row>
    <row r="23" spans="1:9" x14ac:dyDescent="0.25">
      <c r="A23" t="s">
        <v>103</v>
      </c>
      <c r="B23">
        <v>99558348</v>
      </c>
      <c r="C23">
        <v>0.88482332010084463</v>
      </c>
      <c r="D23">
        <v>-1.063489300654118E-2</v>
      </c>
      <c r="E23">
        <v>-7.1513292939289306</v>
      </c>
      <c r="F23">
        <v>-0.1450130198500881</v>
      </c>
      <c r="G23">
        <v>0.88482332010084463</v>
      </c>
      <c r="H23">
        <v>0.94044374826111254</v>
      </c>
      <c r="I23">
        <v>-6.497124114094289</v>
      </c>
    </row>
    <row r="24" spans="1:9" x14ac:dyDescent="0.25">
      <c r="A24" t="s">
        <v>73</v>
      </c>
      <c r="B24">
        <v>99558388</v>
      </c>
      <c r="C24">
        <v>0.59979776396903262</v>
      </c>
      <c r="D24">
        <v>4.3531786072114137E-2</v>
      </c>
      <c r="E24">
        <v>-5.3924464177569957</v>
      </c>
      <c r="F24">
        <v>0.52539497974721827</v>
      </c>
      <c r="G24">
        <v>0.59979776396903262</v>
      </c>
      <c r="H24">
        <v>0.92721090425959418</v>
      </c>
      <c r="I24">
        <v>-6.371957237202027</v>
      </c>
    </row>
    <row r="25" spans="1:9" x14ac:dyDescent="0.25">
      <c r="A25" t="s">
        <v>99</v>
      </c>
      <c r="B25">
        <v>99558408</v>
      </c>
      <c r="C25">
        <v>0.83946766617809476</v>
      </c>
      <c r="D25">
        <v>-1.734657470856121E-2</v>
      </c>
      <c r="E25">
        <v>-7.3170668752882122</v>
      </c>
      <c r="F25">
        <v>-0.2027960980678481</v>
      </c>
      <c r="G25">
        <v>0.83946766617809476</v>
      </c>
      <c r="H25">
        <v>0.93305627374023525</v>
      </c>
      <c r="I25">
        <v>-6.4872547121461137</v>
      </c>
    </row>
    <row r="26" spans="1:9" x14ac:dyDescent="0.25">
      <c r="A26" t="s">
        <v>81</v>
      </c>
      <c r="B26">
        <v>99558503</v>
      </c>
      <c r="C26">
        <v>0.70296998192620119</v>
      </c>
      <c r="D26">
        <v>0.17175239400823469</v>
      </c>
      <c r="E26">
        <v>-9.0693851314594323</v>
      </c>
      <c r="F26">
        <v>0.38177353703384659</v>
      </c>
      <c r="G26">
        <v>0.70296998192620119</v>
      </c>
      <c r="H26">
        <v>0.93305627374023525</v>
      </c>
      <c r="I26">
        <v>-6.43588968738643</v>
      </c>
    </row>
    <row r="27" spans="1:9" x14ac:dyDescent="0.25">
      <c r="A27" t="s">
        <v>98</v>
      </c>
      <c r="B27">
        <v>99558521</v>
      </c>
      <c r="C27">
        <v>0.83571130713922093</v>
      </c>
      <c r="D27">
        <v>5.5608391599053238E-2</v>
      </c>
      <c r="E27">
        <v>-9.7601186796433534</v>
      </c>
      <c r="F27">
        <v>0.20760964168956261</v>
      </c>
      <c r="G27">
        <v>0.83571130713922093</v>
      </c>
      <c r="H27">
        <v>0.93305627374023525</v>
      </c>
      <c r="I27">
        <v>-6.4862846334608619</v>
      </c>
    </row>
    <row r="28" spans="1:9" x14ac:dyDescent="0.25">
      <c r="A28" t="s">
        <v>95</v>
      </c>
      <c r="B28">
        <v>99558540</v>
      </c>
      <c r="C28">
        <v>0.81692675212975363</v>
      </c>
      <c r="D28">
        <v>0.12565869300580659</v>
      </c>
      <c r="E28">
        <v>-7.3521952623130682</v>
      </c>
      <c r="F28">
        <v>0.23175589279922709</v>
      </c>
      <c r="G28">
        <v>0.81692675212975363</v>
      </c>
      <c r="H28">
        <v>0.93305627374023525</v>
      </c>
      <c r="I28">
        <v>-6.4810751748336717</v>
      </c>
    </row>
    <row r="29" spans="1:9" x14ac:dyDescent="0.25">
      <c r="A29" t="s">
        <v>45</v>
      </c>
      <c r="B29">
        <v>99558572</v>
      </c>
      <c r="C29">
        <v>0.28622498583508188</v>
      </c>
      <c r="D29">
        <v>-0.14308815014791559</v>
      </c>
      <c r="E29">
        <v>-7.8991991935786396</v>
      </c>
      <c r="F29">
        <v>-1.0688391808487361</v>
      </c>
      <c r="G29">
        <v>0.28622498583508188</v>
      </c>
      <c r="H29">
        <v>0.76326662889355179</v>
      </c>
      <c r="I29">
        <v>-5.9477342302823288</v>
      </c>
    </row>
    <row r="30" spans="1:9" x14ac:dyDescent="0.25">
      <c r="A30" t="s">
        <v>107</v>
      </c>
      <c r="B30">
        <v>99558764</v>
      </c>
      <c r="C30">
        <v>0.91331556321511886</v>
      </c>
      <c r="D30">
        <v>-3.9007538540293749E-2</v>
      </c>
      <c r="E30">
        <v>-7.0815415781600883</v>
      </c>
      <c r="F30">
        <v>-0.10897320406187121</v>
      </c>
      <c r="G30">
        <v>0.91331556321511886</v>
      </c>
      <c r="H30">
        <v>0.94044374826111254</v>
      </c>
      <c r="I30">
        <v>-6.5016195228924252</v>
      </c>
    </row>
    <row r="31" spans="1:9" x14ac:dyDescent="0.25">
      <c r="A31" t="s">
        <v>56</v>
      </c>
      <c r="B31">
        <v>99558774</v>
      </c>
      <c r="C31">
        <v>0.39687661069003621</v>
      </c>
      <c r="D31">
        <v>0.33056558830331573</v>
      </c>
      <c r="E31">
        <v>-7.145262262838064</v>
      </c>
      <c r="F31">
        <v>0.84874397103013977</v>
      </c>
      <c r="G31">
        <v>0.39687661069003621</v>
      </c>
      <c r="H31">
        <v>0.8212596595771634</v>
      </c>
      <c r="I31">
        <v>-6.1541955629423848</v>
      </c>
    </row>
    <row r="32" spans="1:9" x14ac:dyDescent="0.25">
      <c r="A32" t="s">
        <v>76</v>
      </c>
      <c r="B32">
        <v>99558846</v>
      </c>
      <c r="C32">
        <v>0.62910488753308313</v>
      </c>
      <c r="D32">
        <v>-3.3125182787794957E-2</v>
      </c>
      <c r="E32">
        <v>-4.4555788697353949</v>
      </c>
      <c r="F32">
        <v>-0.48361341478487918</v>
      </c>
      <c r="G32">
        <v>0.62910488753308313</v>
      </c>
      <c r="H32">
        <v>0.93157878785135628</v>
      </c>
      <c r="I32">
        <v>-6.3926401395770061</v>
      </c>
    </row>
    <row r="33" spans="1:9" x14ac:dyDescent="0.25">
      <c r="A33" t="s">
        <v>93</v>
      </c>
      <c r="B33">
        <v>99559011</v>
      </c>
      <c r="C33">
        <v>0.80479442166923376</v>
      </c>
      <c r="D33">
        <v>1.5134601069401159E-2</v>
      </c>
      <c r="E33">
        <v>-5.9225732679875902</v>
      </c>
      <c r="F33">
        <v>0.2474226938129053</v>
      </c>
      <c r="G33">
        <v>0.80479442166923376</v>
      </c>
      <c r="H33">
        <v>0.93305627374023525</v>
      </c>
      <c r="I33">
        <v>-6.477388984651669</v>
      </c>
    </row>
    <row r="34" spans="1:9" x14ac:dyDescent="0.25">
      <c r="A34" t="s">
        <v>100</v>
      </c>
      <c r="B34">
        <v>99559159</v>
      </c>
      <c r="C34">
        <v>0.84568746249572113</v>
      </c>
      <c r="D34">
        <v>1.5513282920497419E-2</v>
      </c>
      <c r="E34">
        <v>-6.7049398539365708</v>
      </c>
      <c r="F34">
        <v>0.19483611576907961</v>
      </c>
      <c r="G34">
        <v>0.84568746249572113</v>
      </c>
      <c r="H34">
        <v>0.93305627374023525</v>
      </c>
      <c r="I34">
        <v>-6.4888089843463908</v>
      </c>
    </row>
    <row r="35" spans="1:9" x14ac:dyDescent="0.25">
      <c r="A35" t="s">
        <v>29</v>
      </c>
      <c r="B35">
        <v>99559345</v>
      </c>
      <c r="C35">
        <v>6.3937216803361008E-2</v>
      </c>
      <c r="D35">
        <v>0.13781569079116851</v>
      </c>
      <c r="E35">
        <v>-5.7760639308794666</v>
      </c>
      <c r="F35">
        <v>1.861282390592609</v>
      </c>
      <c r="G35">
        <v>6.3937216803361008E-2</v>
      </c>
      <c r="H35">
        <v>0.28910741511084981</v>
      </c>
      <c r="I35">
        <v>-4.8184851077586934</v>
      </c>
    </row>
    <row r="36" spans="1:9" x14ac:dyDescent="0.25">
      <c r="A36" t="s">
        <v>96</v>
      </c>
      <c r="B36">
        <v>99559436</v>
      </c>
      <c r="C36">
        <v>0.82281700135457014</v>
      </c>
      <c r="D36">
        <v>4.2748001355408509E-2</v>
      </c>
      <c r="E36">
        <v>-5.0075324851498406</v>
      </c>
      <c r="F36">
        <v>0.22417044024868121</v>
      </c>
      <c r="G36">
        <v>0.82281700135457014</v>
      </c>
      <c r="H36">
        <v>0.93305627374023525</v>
      </c>
      <c r="I36">
        <v>-6.482773365313248</v>
      </c>
    </row>
    <row r="37" spans="1:9" x14ac:dyDescent="0.25">
      <c r="A37" t="s">
        <v>59</v>
      </c>
      <c r="B37">
        <v>99561702</v>
      </c>
      <c r="C37">
        <v>0.42522284729813098</v>
      </c>
      <c r="D37">
        <v>-4.5150744606800852E-2</v>
      </c>
      <c r="E37">
        <v>5.2549009678425138</v>
      </c>
      <c r="F37">
        <v>-0.79876534256150056</v>
      </c>
      <c r="G37">
        <v>0.42522284729813098</v>
      </c>
      <c r="H37">
        <v>0.83439954941520045</v>
      </c>
      <c r="I37">
        <v>-6.1945187374675834</v>
      </c>
    </row>
    <row r="38" spans="1:9" x14ac:dyDescent="0.25">
      <c r="A38" t="s">
        <v>37</v>
      </c>
      <c r="B38">
        <v>99562638</v>
      </c>
      <c r="C38">
        <v>0.15981560980383749</v>
      </c>
      <c r="D38">
        <v>0.1147924984009733</v>
      </c>
      <c r="E38">
        <v>4.8294059967452476</v>
      </c>
      <c r="F38">
        <v>1.4101001699251801</v>
      </c>
      <c r="G38">
        <v>0.15981560980383749</v>
      </c>
      <c r="H38">
        <v>0.53374378659924893</v>
      </c>
      <c r="I38">
        <v>-5.5350187972649492</v>
      </c>
    </row>
    <row r="39" spans="1:9" x14ac:dyDescent="0.25">
      <c r="A39" s="2" t="s">
        <v>11</v>
      </c>
      <c r="B39" s="2">
        <v>99563091</v>
      </c>
      <c r="C39" s="2">
        <v>3.3912142606517902E-4</v>
      </c>
      <c r="D39" s="2">
        <v>-0.19488437421937871</v>
      </c>
      <c r="E39" s="2">
        <v>1.4697374696073731</v>
      </c>
      <c r="F39" s="2">
        <v>-3.6362078276655492</v>
      </c>
      <c r="G39" s="2">
        <v>3.3912142606517902E-4</v>
      </c>
      <c r="H39" s="2">
        <v>7.0537256621557229E-3</v>
      </c>
      <c r="I39" s="2">
        <v>-0.19132796693460641</v>
      </c>
    </row>
    <row r="40" spans="1:9" x14ac:dyDescent="0.25">
      <c r="A40" t="s">
        <v>71</v>
      </c>
      <c r="B40">
        <v>99563874</v>
      </c>
      <c r="C40">
        <v>0.5920935257618567</v>
      </c>
      <c r="D40">
        <v>-3.5777061155230633E-2</v>
      </c>
      <c r="E40">
        <v>5.9200794126183327</v>
      </c>
      <c r="F40">
        <v>-0.53652988844854221</v>
      </c>
      <c r="G40">
        <v>0.5920935257618567</v>
      </c>
      <c r="H40">
        <v>0.92721090425959418</v>
      </c>
      <c r="I40">
        <v>-6.3661567806373824</v>
      </c>
    </row>
    <row r="41" spans="1:9" x14ac:dyDescent="0.25">
      <c r="A41" t="s">
        <v>25</v>
      </c>
      <c r="B41">
        <v>99564363</v>
      </c>
      <c r="C41">
        <v>4.499803480083741E-2</v>
      </c>
      <c r="D41">
        <v>-0.21567339895151469</v>
      </c>
      <c r="E41">
        <v>4.6997456270860916</v>
      </c>
      <c r="F41">
        <v>-2.0152956428588178</v>
      </c>
      <c r="G41">
        <v>4.499803480083741E-2</v>
      </c>
      <c r="H41">
        <v>0.24630503259405739</v>
      </c>
      <c r="I41">
        <v>-4.5299148628445414</v>
      </c>
    </row>
    <row r="42" spans="1:9" x14ac:dyDescent="0.25">
      <c r="A42" t="s">
        <v>62</v>
      </c>
      <c r="B42">
        <v>99567208</v>
      </c>
      <c r="C42">
        <v>0.44977438186039159</v>
      </c>
      <c r="D42">
        <v>-6.4361312199360851E-2</v>
      </c>
      <c r="E42">
        <v>5.5088168719455952</v>
      </c>
      <c r="F42">
        <v>-0.7570405076590272</v>
      </c>
      <c r="G42">
        <v>0.44977438186039159</v>
      </c>
      <c r="H42">
        <v>0.83529528059787028</v>
      </c>
      <c r="I42">
        <v>-6.2263189081854327</v>
      </c>
    </row>
    <row r="43" spans="1:9" x14ac:dyDescent="0.25">
      <c r="A43" t="s">
        <v>74</v>
      </c>
      <c r="B43">
        <v>99570051</v>
      </c>
      <c r="C43">
        <v>0.6130478624608644</v>
      </c>
      <c r="D43">
        <v>4.1301760362368989E-2</v>
      </c>
      <c r="E43">
        <v>5.5806279991853156</v>
      </c>
      <c r="F43">
        <v>0.50639541330535154</v>
      </c>
      <c r="G43">
        <v>0.6130478624608644</v>
      </c>
      <c r="H43">
        <v>0.92721090425959418</v>
      </c>
      <c r="I43">
        <v>-6.3815743822216886</v>
      </c>
    </row>
    <row r="44" spans="1:9" x14ac:dyDescent="0.25">
      <c r="A44" t="s">
        <v>55</v>
      </c>
      <c r="B44">
        <v>99570301</v>
      </c>
      <c r="C44">
        <v>0.37402787907859902</v>
      </c>
      <c r="D44">
        <v>-9.0305603837101844E-2</v>
      </c>
      <c r="E44">
        <v>4.0784737162907891</v>
      </c>
      <c r="F44">
        <v>-0.89062858648632381</v>
      </c>
      <c r="G44">
        <v>0.37402787907859902</v>
      </c>
      <c r="H44">
        <v>0.79385509028927148</v>
      </c>
      <c r="I44">
        <v>-6.1185303032728804</v>
      </c>
    </row>
    <row r="45" spans="1:9" x14ac:dyDescent="0.25">
      <c r="A45" t="s">
        <v>28</v>
      </c>
      <c r="B45">
        <v>99578571</v>
      </c>
      <c r="C45">
        <v>6.3008488829905424E-2</v>
      </c>
      <c r="D45">
        <v>-0.1027057496340589</v>
      </c>
      <c r="E45">
        <v>3.0410194128002161</v>
      </c>
      <c r="F45">
        <v>-1.8678746844715159</v>
      </c>
      <c r="G45">
        <v>6.3008488829905424E-2</v>
      </c>
      <c r="H45">
        <v>0.28910741511084981</v>
      </c>
      <c r="I45">
        <v>-4.8065886462197964</v>
      </c>
    </row>
    <row r="46" spans="1:9" x14ac:dyDescent="0.25">
      <c r="A46" t="s">
        <v>31</v>
      </c>
      <c r="B46">
        <v>99580072</v>
      </c>
      <c r="C46">
        <v>7.2956029171656528E-2</v>
      </c>
      <c r="D46">
        <v>0.1224235352947666</v>
      </c>
      <c r="E46">
        <v>-2.8822893549329969</v>
      </c>
      <c r="F46">
        <v>1.8010801263713589</v>
      </c>
      <c r="G46">
        <v>7.2956029171656528E-2</v>
      </c>
      <c r="H46">
        <v>0.30349708135409109</v>
      </c>
      <c r="I46">
        <v>-4.9252356432060669</v>
      </c>
    </row>
    <row r="47" spans="1:9" x14ac:dyDescent="0.25">
      <c r="A47" t="s">
        <v>68</v>
      </c>
      <c r="B47">
        <v>99580314</v>
      </c>
      <c r="C47">
        <v>0.55521421325137832</v>
      </c>
      <c r="D47">
        <v>0.1043856834287382</v>
      </c>
      <c r="E47">
        <v>-5.6786756701140542</v>
      </c>
      <c r="F47">
        <v>0.59080124386415245</v>
      </c>
      <c r="G47">
        <v>0.55521421325137832</v>
      </c>
      <c r="H47">
        <v>0.92523840597671869</v>
      </c>
      <c r="I47">
        <v>-6.3361488588130559</v>
      </c>
    </row>
    <row r="48" spans="1:9" x14ac:dyDescent="0.25">
      <c r="A48" t="s">
        <v>94</v>
      </c>
      <c r="B48">
        <v>99580424</v>
      </c>
      <c r="C48">
        <v>0.80879695495813686</v>
      </c>
      <c r="D48">
        <v>1.767205432078316E-2</v>
      </c>
      <c r="E48">
        <v>-6.0312178603722364</v>
      </c>
      <c r="F48">
        <v>0.2422475633242058</v>
      </c>
      <c r="G48">
        <v>0.80879695495813686</v>
      </c>
      <c r="H48">
        <v>0.93305627374023525</v>
      </c>
      <c r="I48">
        <v>-6.4786332711926056</v>
      </c>
    </row>
    <row r="49" spans="1:9" x14ac:dyDescent="0.25">
      <c r="A49" t="s">
        <v>19</v>
      </c>
      <c r="B49">
        <v>99597392</v>
      </c>
      <c r="C49">
        <v>1.9247221013714701E-2</v>
      </c>
      <c r="D49">
        <v>7.8591593938808782E-2</v>
      </c>
      <c r="E49">
        <v>3.3684145396218059</v>
      </c>
      <c r="F49">
        <v>2.3567416898272739</v>
      </c>
      <c r="G49">
        <v>1.9247221013714701E-2</v>
      </c>
      <c r="H49">
        <v>0.15129267401339799</v>
      </c>
      <c r="I49">
        <v>-3.8115626354332002</v>
      </c>
    </row>
    <row r="50" spans="1:9" x14ac:dyDescent="0.25">
      <c r="A50" t="s">
        <v>32</v>
      </c>
      <c r="B50">
        <v>99598032</v>
      </c>
      <c r="C50">
        <v>8.6537567424110215E-2</v>
      </c>
      <c r="D50">
        <v>-0.2197379418926402</v>
      </c>
      <c r="E50">
        <v>4.4205240607214229</v>
      </c>
      <c r="F50">
        <v>-1.7210704138739741</v>
      </c>
      <c r="G50">
        <v>8.6537567424110215E-2</v>
      </c>
      <c r="H50">
        <v>0.33459809437336502</v>
      </c>
      <c r="I50">
        <v>-5.0618224304919721</v>
      </c>
    </row>
    <row r="51" spans="1:9" x14ac:dyDescent="0.25">
      <c r="A51" t="s">
        <v>102</v>
      </c>
      <c r="B51">
        <v>99598047</v>
      </c>
      <c r="C51">
        <v>0.87614295719888158</v>
      </c>
      <c r="D51">
        <v>1.118960467447417E-2</v>
      </c>
      <c r="E51">
        <v>3.1130228936363569</v>
      </c>
      <c r="F51">
        <v>0.1560283212792257</v>
      </c>
      <c r="G51">
        <v>0.87614295719888158</v>
      </c>
      <c r="H51">
        <v>0.94044374826111254</v>
      </c>
      <c r="I51">
        <v>-6.4954956155713273</v>
      </c>
    </row>
    <row r="52" spans="1:9" x14ac:dyDescent="0.25">
      <c r="A52" t="s">
        <v>26</v>
      </c>
      <c r="B52">
        <v>99598165</v>
      </c>
      <c r="C52">
        <v>5.0017281135119877E-2</v>
      </c>
      <c r="D52">
        <v>-0.1560915146556236</v>
      </c>
      <c r="E52">
        <v>1.5175028956503429</v>
      </c>
      <c r="F52">
        <v>-1.969831625399431</v>
      </c>
      <c r="G52">
        <v>5.0017281135119877E-2</v>
      </c>
      <c r="H52">
        <v>0.2600898619026234</v>
      </c>
      <c r="I52">
        <v>-4.6174078190268872</v>
      </c>
    </row>
    <row r="53" spans="1:9" x14ac:dyDescent="0.25">
      <c r="A53" t="s">
        <v>18</v>
      </c>
      <c r="B53">
        <v>99598196</v>
      </c>
      <c r="C53">
        <v>1.71564784699695E-2</v>
      </c>
      <c r="D53">
        <v>-0.2190523749550228</v>
      </c>
      <c r="E53">
        <v>2.3355777528261208</v>
      </c>
      <c r="F53">
        <v>-2.400173418986407</v>
      </c>
      <c r="G53">
        <v>1.71564784699695E-2</v>
      </c>
      <c r="H53">
        <v>0.14868948007306901</v>
      </c>
      <c r="I53">
        <v>-3.7124995909849599</v>
      </c>
    </row>
    <row r="54" spans="1:9" x14ac:dyDescent="0.25">
      <c r="A54" t="s">
        <v>34</v>
      </c>
      <c r="B54">
        <v>99598308</v>
      </c>
      <c r="C54">
        <v>9.0084102331290564E-2</v>
      </c>
      <c r="D54">
        <v>-0.16038479352218871</v>
      </c>
      <c r="E54">
        <v>3.1062732529232848</v>
      </c>
      <c r="F54">
        <v>-1.701877674566711</v>
      </c>
      <c r="G54">
        <v>9.0084102331290564E-2</v>
      </c>
      <c r="H54">
        <v>0.33459809437336502</v>
      </c>
      <c r="I54">
        <v>-5.0936875313003176</v>
      </c>
    </row>
    <row r="55" spans="1:9" x14ac:dyDescent="0.25">
      <c r="A55" t="s">
        <v>58</v>
      </c>
      <c r="B55">
        <v>99598845</v>
      </c>
      <c r="C55">
        <v>0.41248211889794628</v>
      </c>
      <c r="D55">
        <v>5.3994718499195599E-2</v>
      </c>
      <c r="E55">
        <v>5.6009669793800514</v>
      </c>
      <c r="F55">
        <v>0.82097489068674512</v>
      </c>
      <c r="G55">
        <v>0.41248211889794628</v>
      </c>
      <c r="H55">
        <v>0.82496423779589256</v>
      </c>
      <c r="I55">
        <v>-6.1769001656718761</v>
      </c>
    </row>
    <row r="56" spans="1:9" x14ac:dyDescent="0.25">
      <c r="A56" t="s">
        <v>53</v>
      </c>
      <c r="B56">
        <v>99602161</v>
      </c>
      <c r="C56">
        <v>0.36710957256703208</v>
      </c>
      <c r="D56">
        <v>-5.2948452980030813E-2</v>
      </c>
      <c r="E56">
        <v>4.6899946798981231</v>
      </c>
      <c r="F56">
        <v>-0.90362196718328947</v>
      </c>
      <c r="G56">
        <v>0.36710957256703208</v>
      </c>
      <c r="H56">
        <v>0.79385509028927148</v>
      </c>
      <c r="I56">
        <v>-6.1071195549770838</v>
      </c>
    </row>
    <row r="57" spans="1:9" x14ac:dyDescent="0.25">
      <c r="A57" t="s">
        <v>97</v>
      </c>
      <c r="B57">
        <v>99612951</v>
      </c>
      <c r="C57">
        <v>0.83514942200706943</v>
      </c>
      <c r="D57">
        <v>1.6781641805017171E-2</v>
      </c>
      <c r="E57">
        <v>5.7646744935894407</v>
      </c>
      <c r="F57">
        <v>0.20833007571003531</v>
      </c>
      <c r="G57">
        <v>0.83514942200706943</v>
      </c>
      <c r="H57">
        <v>0.93305627374023525</v>
      </c>
      <c r="I57">
        <v>-6.4861374865635826</v>
      </c>
    </row>
    <row r="58" spans="1:9" x14ac:dyDescent="0.25">
      <c r="A58" t="s">
        <v>17</v>
      </c>
      <c r="B58">
        <v>99616167</v>
      </c>
      <c r="C58">
        <v>9.7461765872095766E-3</v>
      </c>
      <c r="D58">
        <v>0.17529327131267899</v>
      </c>
      <c r="E58">
        <v>1.062098332129402</v>
      </c>
      <c r="F58">
        <v>2.6057193677509929</v>
      </c>
      <c r="G58">
        <v>9.7461765872095766E-3</v>
      </c>
      <c r="H58">
        <v>9.2145669551799633E-2</v>
      </c>
      <c r="I58">
        <v>-3.220407994964968</v>
      </c>
    </row>
    <row r="59" spans="1:9" x14ac:dyDescent="0.25">
      <c r="A59" t="s">
        <v>57</v>
      </c>
      <c r="B59">
        <v>99616522</v>
      </c>
      <c r="C59">
        <v>0.40273310229264753</v>
      </c>
      <c r="D59">
        <v>-0.1234220877899346</v>
      </c>
      <c r="E59">
        <v>-5.306979913068135</v>
      </c>
      <c r="F59">
        <v>-0.83824688351887466</v>
      </c>
      <c r="G59">
        <v>0.40273310229264753</v>
      </c>
      <c r="H59">
        <v>0.8212596595771634</v>
      </c>
      <c r="I59">
        <v>-6.1628664586310489</v>
      </c>
    </row>
    <row r="60" spans="1:9" x14ac:dyDescent="0.25">
      <c r="A60" t="s">
        <v>50</v>
      </c>
      <c r="B60">
        <v>99616578</v>
      </c>
      <c r="C60">
        <v>0.33307342052878541</v>
      </c>
      <c r="D60">
        <v>-7.9499034240047631E-2</v>
      </c>
      <c r="E60">
        <v>-6.2217015305624894</v>
      </c>
      <c r="F60">
        <v>-0.96991514175479732</v>
      </c>
      <c r="G60">
        <v>0.33307342052878541</v>
      </c>
      <c r="H60">
        <v>0.7872644485225837</v>
      </c>
      <c r="I60">
        <v>-6.0463476364877566</v>
      </c>
    </row>
    <row r="61" spans="1:9" x14ac:dyDescent="0.25">
      <c r="A61" t="s">
        <v>39</v>
      </c>
      <c r="B61">
        <v>99616609</v>
      </c>
      <c r="C61">
        <v>0.1733747130062222</v>
      </c>
      <c r="D61">
        <v>-0.43869208153458789</v>
      </c>
      <c r="E61">
        <v>-8.2334285415101025</v>
      </c>
      <c r="F61">
        <v>-1.3655331270186339</v>
      </c>
      <c r="G61">
        <v>0.1733747130062222</v>
      </c>
      <c r="H61">
        <v>0.5458604444706523</v>
      </c>
      <c r="I61">
        <v>-5.5952754584753546</v>
      </c>
    </row>
    <row r="62" spans="1:9" x14ac:dyDescent="0.25">
      <c r="A62" t="s">
        <v>109</v>
      </c>
      <c r="B62">
        <v>99616819</v>
      </c>
      <c r="C62">
        <v>0.98596588609866487</v>
      </c>
      <c r="D62">
        <v>-1.424995994889968E-3</v>
      </c>
      <c r="E62">
        <v>-7.4795905103307483</v>
      </c>
      <c r="F62">
        <v>-1.760855251666919E-2</v>
      </c>
      <c r="G62">
        <v>0.98596588609866487</v>
      </c>
      <c r="H62">
        <v>0.99001620507344046</v>
      </c>
      <c r="I62">
        <v>-6.507299480607589</v>
      </c>
    </row>
    <row r="63" spans="1:9" x14ac:dyDescent="0.25">
      <c r="A63" t="s">
        <v>101</v>
      </c>
      <c r="B63">
        <v>99616824</v>
      </c>
      <c r="C63">
        <v>0.85231101928194564</v>
      </c>
      <c r="D63">
        <v>-9.6629093867836025E-3</v>
      </c>
      <c r="E63">
        <v>-5.6509298463126294</v>
      </c>
      <c r="F63">
        <v>-0.1863730023098347</v>
      </c>
      <c r="G63">
        <v>0.85231101928194564</v>
      </c>
      <c r="H63">
        <v>0.93305627374023525</v>
      </c>
      <c r="I63">
        <v>-6.4903932675464748</v>
      </c>
    </row>
    <row r="64" spans="1:9" x14ac:dyDescent="0.25">
      <c r="A64" t="s">
        <v>43</v>
      </c>
      <c r="B64">
        <v>99616873</v>
      </c>
      <c r="C64">
        <v>0.22454892113327421</v>
      </c>
      <c r="D64">
        <v>-8.5705985056770767E-2</v>
      </c>
      <c r="E64">
        <v>-5.8615861529611548</v>
      </c>
      <c r="F64">
        <v>-1.2176866982761769</v>
      </c>
      <c r="G64">
        <v>0.22454892113327421</v>
      </c>
      <c r="H64">
        <v>0.63116453507731141</v>
      </c>
      <c r="I64">
        <v>-5.7815139147215264</v>
      </c>
    </row>
    <row r="65" spans="1:9" x14ac:dyDescent="0.25">
      <c r="A65" t="s">
        <v>77</v>
      </c>
      <c r="B65">
        <v>99616885</v>
      </c>
      <c r="C65">
        <v>0.63598167247544513</v>
      </c>
      <c r="D65">
        <v>-2.4428547616542291E-2</v>
      </c>
      <c r="E65">
        <v>-3.58330547700877</v>
      </c>
      <c r="F65">
        <v>-0.47393368266722508</v>
      </c>
      <c r="G65">
        <v>0.63598167247544513</v>
      </c>
      <c r="H65">
        <v>0.93157878785135628</v>
      </c>
      <c r="I65">
        <v>-6.3971879607387123</v>
      </c>
    </row>
    <row r="66" spans="1:9" x14ac:dyDescent="0.25">
      <c r="A66" t="s">
        <v>33</v>
      </c>
      <c r="B66">
        <v>99616911</v>
      </c>
      <c r="C66">
        <v>8.6917881355077692E-2</v>
      </c>
      <c r="D66">
        <v>0.63572778684558828</v>
      </c>
      <c r="E66">
        <v>-8.8780211902866597</v>
      </c>
      <c r="F66">
        <v>1.71898203766503</v>
      </c>
      <c r="G66">
        <v>8.6917881355077692E-2</v>
      </c>
      <c r="H66">
        <v>0.33459809437336502</v>
      </c>
      <c r="I66">
        <v>-5.0653065891350213</v>
      </c>
    </row>
    <row r="67" spans="1:9" x14ac:dyDescent="0.25">
      <c r="A67" t="s">
        <v>49</v>
      </c>
      <c r="B67">
        <v>99617009</v>
      </c>
      <c r="C67">
        <v>0.32316521086164202</v>
      </c>
      <c r="D67">
        <v>0.2135806214250692</v>
      </c>
      <c r="E67">
        <v>-6.9823799551600141</v>
      </c>
      <c r="F67">
        <v>0.99002934212256577</v>
      </c>
      <c r="G67">
        <v>0.32316521086164202</v>
      </c>
      <c r="H67">
        <v>0.78160888208397117</v>
      </c>
      <c r="I67">
        <v>-6.0270650009412137</v>
      </c>
    </row>
    <row r="68" spans="1:9" x14ac:dyDescent="0.25">
      <c r="A68" t="s">
        <v>82</v>
      </c>
      <c r="B68">
        <v>99617068</v>
      </c>
      <c r="C68">
        <v>0.70957335550325662</v>
      </c>
      <c r="D68">
        <v>0.1687001571967503</v>
      </c>
      <c r="E68">
        <v>-10.018996975737171</v>
      </c>
      <c r="F68">
        <v>0.37287497422294291</v>
      </c>
      <c r="G68">
        <v>0.70957335550325662</v>
      </c>
      <c r="H68">
        <v>0.93305627374023525</v>
      </c>
      <c r="I68">
        <v>-6.4391858323780378</v>
      </c>
    </row>
    <row r="69" spans="1:9" x14ac:dyDescent="0.25">
      <c r="A69" t="s">
        <v>72</v>
      </c>
      <c r="B69">
        <v>99617104</v>
      </c>
      <c r="C69">
        <v>0.59336417313489997</v>
      </c>
      <c r="D69">
        <v>-0.2030047186415567</v>
      </c>
      <c r="E69">
        <v>-8.8344263260928546</v>
      </c>
      <c r="F69">
        <v>-0.53468886248067826</v>
      </c>
      <c r="G69">
        <v>0.59336417313489997</v>
      </c>
      <c r="H69">
        <v>0.92721090425959418</v>
      </c>
      <c r="I69">
        <v>-6.3671241907730494</v>
      </c>
    </row>
    <row r="70" spans="1:9" x14ac:dyDescent="0.25">
      <c r="A70" t="s">
        <v>24</v>
      </c>
      <c r="B70">
        <v>99618585</v>
      </c>
      <c r="C70">
        <v>3.9536891805012887E-2</v>
      </c>
      <c r="D70">
        <v>-0.1214655750942799</v>
      </c>
      <c r="E70">
        <v>2.8202823116690512</v>
      </c>
      <c r="F70">
        <v>-2.06994147169444</v>
      </c>
      <c r="G70">
        <v>3.9536891805012887E-2</v>
      </c>
      <c r="H70">
        <v>0.22843537487340779</v>
      </c>
      <c r="I70">
        <v>-4.4222022512024957</v>
      </c>
    </row>
    <row r="71" spans="1:9" x14ac:dyDescent="0.25">
      <c r="A71" t="s">
        <v>87</v>
      </c>
      <c r="B71">
        <v>99618782</v>
      </c>
      <c r="C71">
        <v>0.7474050525947229</v>
      </c>
      <c r="D71">
        <v>-1.9274933656258601E-2</v>
      </c>
      <c r="E71">
        <v>3.3795061612899242</v>
      </c>
      <c r="F71">
        <v>-0.32243655326858811</v>
      </c>
      <c r="G71">
        <v>0.7474050525947229</v>
      </c>
      <c r="H71">
        <v>0.93305627374023525</v>
      </c>
      <c r="I71">
        <v>-6.4564014086464923</v>
      </c>
    </row>
    <row r="72" spans="1:9" x14ac:dyDescent="0.25">
      <c r="A72" t="s">
        <v>84</v>
      </c>
      <c r="B72">
        <v>99618844</v>
      </c>
      <c r="C72">
        <v>0.73808810941351877</v>
      </c>
      <c r="D72">
        <v>-2.0304644714546079E-2</v>
      </c>
      <c r="E72">
        <v>5.4246963917292792</v>
      </c>
      <c r="F72">
        <v>-0.33477706877932267</v>
      </c>
      <c r="G72">
        <v>0.73808810941351877</v>
      </c>
      <c r="H72">
        <v>0.93305627374023525</v>
      </c>
      <c r="I72">
        <v>-6.4524199186053108</v>
      </c>
    </row>
    <row r="73" spans="1:9" x14ac:dyDescent="0.25">
      <c r="A73" s="5" t="s">
        <v>89</v>
      </c>
      <c r="B73">
        <v>99619591</v>
      </c>
      <c r="C73">
        <v>0.76305015736820092</v>
      </c>
      <c r="D73">
        <v>-3.001011208139015E-2</v>
      </c>
      <c r="E73">
        <v>5.208117740146629</v>
      </c>
      <c r="F73">
        <v>-0.30182352958724917</v>
      </c>
      <c r="G73">
        <v>0.76305015736820092</v>
      </c>
      <c r="H73">
        <v>0.93305627374023525</v>
      </c>
      <c r="I73">
        <v>-6.4627187245165878</v>
      </c>
    </row>
    <row r="74" spans="1:9" x14ac:dyDescent="0.25">
      <c r="A74" s="5" t="s">
        <v>79</v>
      </c>
      <c r="B74">
        <v>99619632</v>
      </c>
      <c r="C74">
        <v>0.67737600848761859</v>
      </c>
      <c r="D74">
        <v>-1.9511403178243219E-2</v>
      </c>
      <c r="E74">
        <v>3.5319268236515131</v>
      </c>
      <c r="F74">
        <v>-0.41655957296340818</v>
      </c>
      <c r="G74">
        <v>0.67737600848761859</v>
      </c>
      <c r="H74">
        <v>0.93305627374023525</v>
      </c>
      <c r="I74">
        <v>-6.422259599076706</v>
      </c>
    </row>
    <row r="75" spans="1:9" x14ac:dyDescent="0.25">
      <c r="A75" s="5" t="s">
        <v>61</v>
      </c>
      <c r="B75">
        <v>99620021</v>
      </c>
      <c r="C75">
        <v>0.44669067817730479</v>
      </c>
      <c r="D75">
        <v>2.2738570570198902E-2</v>
      </c>
      <c r="E75">
        <v>2.9619856418439889</v>
      </c>
      <c r="F75">
        <v>0.76220780400533339</v>
      </c>
      <c r="G75">
        <v>0.44669067817730479</v>
      </c>
      <c r="H75">
        <v>0.83529528059787028</v>
      </c>
      <c r="I75">
        <v>-6.2224727722880218</v>
      </c>
    </row>
    <row r="76" spans="1:9" x14ac:dyDescent="0.25">
      <c r="A76" s="5" t="s">
        <v>13</v>
      </c>
      <c r="B76">
        <v>99623197</v>
      </c>
      <c r="C76">
        <v>1.544591904160589E-3</v>
      </c>
      <c r="D76">
        <v>-0.1846912141902515</v>
      </c>
      <c r="E76">
        <v>0.92067813815509281</v>
      </c>
      <c r="F76">
        <v>-3.203228718492372</v>
      </c>
      <c r="G76">
        <v>1.544591904160589E-3</v>
      </c>
      <c r="H76">
        <v>2.2807190880447539E-2</v>
      </c>
      <c r="I76">
        <v>-1.575911060064656</v>
      </c>
    </row>
    <row r="77" spans="1:9" x14ac:dyDescent="0.25">
      <c r="A77" s="5" t="s">
        <v>15</v>
      </c>
      <c r="B77">
        <v>99623352</v>
      </c>
      <c r="C77">
        <v>3.4968839445664781E-3</v>
      </c>
      <c r="D77">
        <v>-0.13739131969612631</v>
      </c>
      <c r="E77">
        <v>1.0593802044056779</v>
      </c>
      <c r="F77">
        <v>-2.949805393187404</v>
      </c>
      <c r="G77">
        <v>3.4968839445664781E-3</v>
      </c>
      <c r="H77">
        <v>4.0408436692768189E-2</v>
      </c>
      <c r="I77">
        <v>-2.3117832116013219</v>
      </c>
    </row>
    <row r="78" spans="1:9" x14ac:dyDescent="0.25">
      <c r="A78" s="5" t="s">
        <v>10</v>
      </c>
      <c r="B78" s="2">
        <v>99624258</v>
      </c>
      <c r="C78" s="2">
        <v>2.32907204500575E-4</v>
      </c>
      <c r="D78" s="2">
        <v>-0.33308626495512172</v>
      </c>
      <c r="E78" s="2">
        <v>2.705124637727645</v>
      </c>
      <c r="F78" s="2">
        <v>-3.737364279180313</v>
      </c>
      <c r="G78" s="2">
        <v>2.32907204500575E-4</v>
      </c>
      <c r="H78" s="2">
        <v>6.055587317014951E-3</v>
      </c>
      <c r="I78" s="2">
        <v>0.15478128899010371</v>
      </c>
    </row>
    <row r="79" spans="1:9" x14ac:dyDescent="0.25">
      <c r="A79" s="5" t="s">
        <v>16</v>
      </c>
      <c r="B79">
        <v>99624484</v>
      </c>
      <c r="C79">
        <v>6.6252515277072082E-3</v>
      </c>
      <c r="D79">
        <v>-7.2106166737286412E-2</v>
      </c>
      <c r="E79">
        <v>-0.30798330023274278</v>
      </c>
      <c r="F79">
        <v>-2.7391898588059518</v>
      </c>
      <c r="G79">
        <v>6.6252515277072082E-3</v>
      </c>
      <c r="H79">
        <v>6.8902615888154967E-2</v>
      </c>
      <c r="I79">
        <v>-2.8804697735521279</v>
      </c>
    </row>
    <row r="80" spans="1:9" x14ac:dyDescent="0.25">
      <c r="A80" s="5" t="s">
        <v>21</v>
      </c>
      <c r="B80">
        <v>99624573</v>
      </c>
      <c r="C80">
        <v>3.2290147646063957E-2</v>
      </c>
      <c r="D80">
        <v>-0.1015484959660829</v>
      </c>
      <c r="E80">
        <v>-1.174762428372873</v>
      </c>
      <c r="F80">
        <v>-2.15342659760827</v>
      </c>
      <c r="G80">
        <v>3.2290147646063957E-2</v>
      </c>
      <c r="H80">
        <v>0.22387835701271011</v>
      </c>
      <c r="I80">
        <v>-4.252286796547553</v>
      </c>
    </row>
    <row r="81" spans="1:9" x14ac:dyDescent="0.25">
      <c r="A81" s="5" t="s">
        <v>12</v>
      </c>
      <c r="B81">
        <v>99624836</v>
      </c>
      <c r="C81">
        <v>9.9040057396331091E-4</v>
      </c>
      <c r="D81">
        <v>-0.13828972072812309</v>
      </c>
      <c r="E81">
        <v>0.71182757276228192</v>
      </c>
      <c r="F81">
        <v>-3.3346827970346951</v>
      </c>
      <c r="G81">
        <v>9.9040057396331091E-4</v>
      </c>
      <c r="H81">
        <v>1.7166943282030719E-2</v>
      </c>
      <c r="I81">
        <v>-1.1723462230559181</v>
      </c>
    </row>
    <row r="82" spans="1:9" x14ac:dyDescent="0.25">
      <c r="A82" s="5" t="s">
        <v>69</v>
      </c>
      <c r="B82">
        <v>99626069</v>
      </c>
      <c r="C82">
        <v>0.56048095746666615</v>
      </c>
      <c r="D82">
        <v>3.6809543984178149E-2</v>
      </c>
      <c r="E82">
        <v>5.0622570189253588</v>
      </c>
      <c r="F82">
        <v>0.58294691395192355</v>
      </c>
      <c r="G82">
        <v>0.56048095746666615</v>
      </c>
      <c r="H82">
        <v>0.92523840597671869</v>
      </c>
      <c r="I82">
        <v>-6.3406700141995307</v>
      </c>
    </row>
    <row r="83" spans="1:9" x14ac:dyDescent="0.25">
      <c r="A83" s="5" t="s">
        <v>20</v>
      </c>
      <c r="B83">
        <v>99629747</v>
      </c>
      <c r="C83">
        <v>2.0366321501803581E-2</v>
      </c>
      <c r="D83">
        <v>-6.7589582185984404E-2</v>
      </c>
      <c r="E83">
        <v>2.5769054773763989</v>
      </c>
      <c r="F83">
        <v>-2.3351752205570859</v>
      </c>
      <c r="G83">
        <v>2.0366321501803581E-2</v>
      </c>
      <c r="H83">
        <v>0.15129267401339799</v>
      </c>
      <c r="I83">
        <v>-3.8601126095797751</v>
      </c>
    </row>
    <row r="84" spans="1:9" x14ac:dyDescent="0.25">
      <c r="A84" s="5" t="s">
        <v>36</v>
      </c>
      <c r="B84">
        <v>99629814</v>
      </c>
      <c r="C84">
        <v>0.1325551558561272</v>
      </c>
      <c r="D84">
        <v>-4.5109229253588012E-2</v>
      </c>
      <c r="E84">
        <v>2.4891595018450068</v>
      </c>
      <c r="F84">
        <v>-1.509273974888977</v>
      </c>
      <c r="G84">
        <v>0.1325551558561272</v>
      </c>
      <c r="H84">
        <v>0.4595245403012409</v>
      </c>
      <c r="I84">
        <v>-5.394111372495078</v>
      </c>
    </row>
    <row r="85" spans="1:9" x14ac:dyDescent="0.25">
      <c r="A85" s="5" t="s">
        <v>86</v>
      </c>
      <c r="B85">
        <v>99629883</v>
      </c>
      <c r="C85">
        <v>0.74378366429001996</v>
      </c>
      <c r="D85">
        <v>1.4313152752466409E-2</v>
      </c>
      <c r="E85">
        <v>4.0584672425880051</v>
      </c>
      <c r="F85">
        <v>0.32722721179039299</v>
      </c>
      <c r="G85">
        <v>0.74378366429001996</v>
      </c>
      <c r="H85">
        <v>0.93305627374023525</v>
      </c>
      <c r="I85">
        <v>-6.4548735108915656</v>
      </c>
    </row>
    <row r="86" spans="1:9" x14ac:dyDescent="0.25">
      <c r="A86" s="5" t="s">
        <v>42</v>
      </c>
      <c r="B86">
        <v>99629892</v>
      </c>
      <c r="C86">
        <v>0.21500106965573759</v>
      </c>
      <c r="D86">
        <v>5.732835919006124E-2</v>
      </c>
      <c r="E86">
        <v>4.7207731893250306</v>
      </c>
      <c r="F86">
        <v>1.243244416978875</v>
      </c>
      <c r="G86">
        <v>0.21500106965573759</v>
      </c>
      <c r="H86">
        <v>0.62111420122768624</v>
      </c>
      <c r="I86">
        <v>-5.7508226987457114</v>
      </c>
    </row>
    <row r="87" spans="1:9" x14ac:dyDescent="0.25">
      <c r="A87" s="5" t="s">
        <v>7</v>
      </c>
      <c r="B87" s="2">
        <v>99631817</v>
      </c>
      <c r="C87" s="2">
        <v>3.0256543501796509E-6</v>
      </c>
      <c r="D87" s="2">
        <v>-0.2259771522720595</v>
      </c>
      <c r="E87" s="2">
        <v>1.960020026634794</v>
      </c>
      <c r="F87" s="2">
        <v>-4.783271787435166</v>
      </c>
      <c r="G87" s="2">
        <v>3.0256543501796509E-6</v>
      </c>
      <c r="H87" s="2">
        <v>3.146680524186837E-4</v>
      </c>
      <c r="I87" s="2">
        <v>4.2108294361636887</v>
      </c>
    </row>
    <row r="88" spans="1:9" x14ac:dyDescent="0.25">
      <c r="A88" s="5" t="s">
        <v>8</v>
      </c>
      <c r="B88" s="2">
        <v>99632027</v>
      </c>
      <c r="C88" s="2">
        <v>4.2905682652887001E-5</v>
      </c>
      <c r="D88" s="2">
        <v>-0.29744763491443321</v>
      </c>
      <c r="E88" s="2">
        <v>3.9463294246043592</v>
      </c>
      <c r="F88" s="2">
        <v>-4.1687519942095994</v>
      </c>
      <c r="G88" s="2">
        <v>4.2905682652887001E-5</v>
      </c>
      <c r="H88" s="2">
        <v>2.2310954979501241E-3</v>
      </c>
      <c r="I88" s="2">
        <v>1.724145578942947</v>
      </c>
    </row>
    <row r="89" spans="1:9" x14ac:dyDescent="0.25">
      <c r="A89" s="5" t="s">
        <v>9</v>
      </c>
      <c r="B89" s="2">
        <v>99637506</v>
      </c>
      <c r="C89" s="2">
        <v>7.2126135995871093E-5</v>
      </c>
      <c r="D89" s="2">
        <v>0.35900408931545352</v>
      </c>
      <c r="E89" s="2">
        <v>-2.118682333219871</v>
      </c>
      <c r="F89" s="2">
        <v>4.040118247018273</v>
      </c>
      <c r="G89" s="2">
        <v>7.2126135995871093E-5</v>
      </c>
      <c r="H89" s="2">
        <v>2.5003727145235309E-3</v>
      </c>
      <c r="I89" s="2">
        <v>1.2405667338178841</v>
      </c>
    </row>
    <row r="90" spans="1:9" x14ac:dyDescent="0.25">
      <c r="A90" s="5" t="s">
        <v>52</v>
      </c>
      <c r="B90">
        <v>99639000</v>
      </c>
      <c r="C90">
        <v>0.34989514501974223</v>
      </c>
      <c r="D90">
        <v>-4.0672369349458608E-2</v>
      </c>
      <c r="E90">
        <v>4.786280987394802</v>
      </c>
      <c r="F90">
        <v>-0.93663621839429745</v>
      </c>
      <c r="G90">
        <v>0.34989514501974223</v>
      </c>
      <c r="H90">
        <v>0.79106728439246055</v>
      </c>
      <c r="I90">
        <v>-6.0773884551457611</v>
      </c>
    </row>
    <row r="91" spans="1:9" x14ac:dyDescent="0.25">
      <c r="A91" s="5" t="s">
        <v>51</v>
      </c>
      <c r="B91">
        <v>99649549</v>
      </c>
      <c r="C91">
        <v>0.34663668691296379</v>
      </c>
      <c r="D91">
        <v>6.1210255758211443E-2</v>
      </c>
      <c r="E91">
        <v>4.2794675056168128</v>
      </c>
      <c r="F91">
        <v>0.94300087436026936</v>
      </c>
      <c r="G91">
        <v>0.34663668691296379</v>
      </c>
      <c r="H91">
        <v>0.79106728439246055</v>
      </c>
      <c r="I91">
        <v>-6.0715350019542864</v>
      </c>
    </row>
    <row r="92" spans="1:9" x14ac:dyDescent="0.25">
      <c r="A92" s="5" t="s">
        <v>110</v>
      </c>
      <c r="B92">
        <v>99677717</v>
      </c>
      <c r="C92">
        <v>0.99001620507344046</v>
      </c>
      <c r="D92">
        <v>-1.1906384295095739E-3</v>
      </c>
      <c r="E92">
        <v>5.804755090567232</v>
      </c>
      <c r="F92">
        <v>-1.2526310708702439E-2</v>
      </c>
      <c r="G92">
        <v>0.99001620507344046</v>
      </c>
      <c r="H92">
        <v>0.99001620507344046</v>
      </c>
      <c r="I92">
        <v>-6.5073747002485316</v>
      </c>
    </row>
    <row r="93" spans="1:9" x14ac:dyDescent="0.25">
      <c r="A93" s="5" t="s">
        <v>41</v>
      </c>
      <c r="B93">
        <v>99679305</v>
      </c>
      <c r="C93">
        <v>0.2020933054931891</v>
      </c>
      <c r="D93">
        <v>7.3822348342796953E-2</v>
      </c>
      <c r="E93">
        <v>1.649476120329437</v>
      </c>
      <c r="F93">
        <v>1.2791404387745791</v>
      </c>
      <c r="G93">
        <v>0.2020933054931891</v>
      </c>
      <c r="H93">
        <v>0.60050582203690472</v>
      </c>
      <c r="I93">
        <v>-5.7066546631781314</v>
      </c>
    </row>
    <row r="94" spans="1:9" x14ac:dyDescent="0.25">
      <c r="A94" s="5" t="s">
        <v>67</v>
      </c>
      <c r="B94">
        <v>99680355</v>
      </c>
      <c r="C94">
        <v>0.53294044021886688</v>
      </c>
      <c r="D94">
        <v>2.2708353364491281E-2</v>
      </c>
      <c r="E94">
        <v>1.829613930993065</v>
      </c>
      <c r="F94">
        <v>0.62443442001714722</v>
      </c>
      <c r="G94">
        <v>0.53294044021886688</v>
      </c>
      <c r="H94">
        <v>0.90861976693052704</v>
      </c>
      <c r="I94">
        <v>-6.3161065786381334</v>
      </c>
    </row>
    <row r="95" spans="1:9" x14ac:dyDescent="0.25">
      <c r="A95" s="5" t="s">
        <v>80</v>
      </c>
      <c r="B95">
        <v>99694738</v>
      </c>
      <c r="C95">
        <v>0.69955134233850846</v>
      </c>
      <c r="D95">
        <v>3.1207665031432859E-2</v>
      </c>
      <c r="E95">
        <v>5.5224338480684363</v>
      </c>
      <c r="F95">
        <v>0.38639232359137238</v>
      </c>
      <c r="G95">
        <v>0.69955134233850846</v>
      </c>
      <c r="H95">
        <v>0.93305627374023525</v>
      </c>
      <c r="I95">
        <v>-6.4341482211852288</v>
      </c>
    </row>
    <row r="96" spans="1:9" x14ac:dyDescent="0.25">
      <c r="A96" s="5" t="s">
        <v>91</v>
      </c>
      <c r="B96">
        <v>99705358</v>
      </c>
      <c r="C96">
        <v>0.77175819222989828</v>
      </c>
      <c r="D96">
        <v>-2.824402714832102E-2</v>
      </c>
      <c r="E96">
        <v>3.4013537382529861</v>
      </c>
      <c r="F96">
        <v>-0.29040644348551969</v>
      </c>
      <c r="G96">
        <v>0.77175819222989828</v>
      </c>
      <c r="H96">
        <v>0.93305627374023525</v>
      </c>
      <c r="I96">
        <v>-6.4660383514347766</v>
      </c>
    </row>
    <row r="97" spans="1:9" x14ac:dyDescent="0.25">
      <c r="A97" t="s">
        <v>90</v>
      </c>
      <c r="B97">
        <v>99713019</v>
      </c>
      <c r="C97">
        <v>0.76722301293589523</v>
      </c>
      <c r="D97">
        <v>-2.775763666107994E-2</v>
      </c>
      <c r="E97">
        <v>2.96247974079367</v>
      </c>
      <c r="F97">
        <v>-0.29634767107381432</v>
      </c>
      <c r="G97">
        <v>0.76722301293589523</v>
      </c>
      <c r="H97">
        <v>0.93305627374023525</v>
      </c>
      <c r="I97">
        <v>-6.4643268431602987</v>
      </c>
    </row>
    <row r="98" spans="1:9" x14ac:dyDescent="0.25">
      <c r="A98" t="s">
        <v>108</v>
      </c>
      <c r="B98">
        <v>99717439</v>
      </c>
      <c r="C98">
        <v>0.97649414657671385</v>
      </c>
      <c r="D98">
        <v>-2.1132092235008819E-3</v>
      </c>
      <c r="E98">
        <v>4.9927459264437672</v>
      </c>
      <c r="F98">
        <v>-2.9495473957535451E-2</v>
      </c>
      <c r="G98">
        <v>0.97649414657671385</v>
      </c>
      <c r="H98">
        <v>0.99001620507344046</v>
      </c>
      <c r="I98">
        <v>-6.5070244801180612</v>
      </c>
    </row>
    <row r="99" spans="1:9" x14ac:dyDescent="0.25">
      <c r="A99" t="s">
        <v>23</v>
      </c>
      <c r="B99">
        <v>99719706</v>
      </c>
      <c r="C99">
        <v>3.6864330697597467E-2</v>
      </c>
      <c r="D99">
        <v>-0.17287318366769669</v>
      </c>
      <c r="E99">
        <v>3.7577167838337902</v>
      </c>
      <c r="F99">
        <v>-2.099072379422783</v>
      </c>
      <c r="G99">
        <v>3.6864330697597467E-2</v>
      </c>
      <c r="H99">
        <v>0.22552296426765511</v>
      </c>
      <c r="I99">
        <v>-4.3636472779392674</v>
      </c>
    </row>
    <row r="100" spans="1:9" x14ac:dyDescent="0.25">
      <c r="A100" t="s">
        <v>40</v>
      </c>
      <c r="B100">
        <v>99720317</v>
      </c>
      <c r="C100">
        <v>0.178454376076944</v>
      </c>
      <c r="D100">
        <v>-0.13729440203138071</v>
      </c>
      <c r="E100">
        <v>4.2248877117694184</v>
      </c>
      <c r="F100">
        <v>-1.349513416098906</v>
      </c>
      <c r="G100">
        <v>0.178454376076944</v>
      </c>
      <c r="H100">
        <v>0.5458604444706523</v>
      </c>
      <c r="I100">
        <v>-5.616469597404393</v>
      </c>
    </row>
    <row r="101" spans="1:9" x14ac:dyDescent="0.25">
      <c r="A101" t="s">
        <v>14</v>
      </c>
      <c r="B101">
        <v>99721036</v>
      </c>
      <c r="C101">
        <v>1.7543992984959649E-3</v>
      </c>
      <c r="D101">
        <v>0.14217249655252151</v>
      </c>
      <c r="E101">
        <v>-0.86586050263544589</v>
      </c>
      <c r="F101">
        <v>3.164771348618729</v>
      </c>
      <c r="G101">
        <v>1.7543992984959649E-3</v>
      </c>
      <c r="H101">
        <v>2.2807190880447539E-2</v>
      </c>
      <c r="I101">
        <v>-1.691168704420021</v>
      </c>
    </row>
    <row r="102" spans="1:9" x14ac:dyDescent="0.25">
      <c r="A102" t="s">
        <v>66</v>
      </c>
      <c r="B102">
        <v>99729924</v>
      </c>
      <c r="C102">
        <v>0.53255510431844533</v>
      </c>
      <c r="D102">
        <v>5.4336099252129143E-2</v>
      </c>
      <c r="E102">
        <v>3.820630676488082</v>
      </c>
      <c r="F102">
        <v>0.62502243910696276</v>
      </c>
      <c r="G102">
        <v>0.53255510431844533</v>
      </c>
      <c r="H102">
        <v>0.90861976693052704</v>
      </c>
      <c r="I102">
        <v>-6.3157463380014054</v>
      </c>
    </row>
    <row r="103" spans="1:9" x14ac:dyDescent="0.25">
      <c r="A103" t="s">
        <v>47</v>
      </c>
      <c r="B103">
        <v>99736134</v>
      </c>
      <c r="C103">
        <v>0.30480065832222142</v>
      </c>
      <c r="D103">
        <v>-6.807327291342026E-2</v>
      </c>
      <c r="E103">
        <v>4.9564211905953339</v>
      </c>
      <c r="F103">
        <v>-1.0284107647292391</v>
      </c>
      <c r="G103">
        <v>0.30480065832222142</v>
      </c>
      <c r="H103">
        <v>0.77315288940270788</v>
      </c>
      <c r="I103">
        <v>-5.9891816617390043</v>
      </c>
    </row>
    <row r="104" spans="1:9" x14ac:dyDescent="0.25">
      <c r="A104" t="s">
        <v>22</v>
      </c>
      <c r="B104">
        <v>99741431</v>
      </c>
      <c r="C104">
        <v>3.6150291103795633E-2</v>
      </c>
      <c r="D104">
        <v>0.11238720797889599</v>
      </c>
      <c r="E104">
        <v>3.7378421925573542</v>
      </c>
      <c r="F104">
        <v>2.1071611257994052</v>
      </c>
      <c r="G104">
        <v>3.6150291103795633E-2</v>
      </c>
      <c r="H104">
        <v>0.22552296426765511</v>
      </c>
      <c r="I104">
        <v>-4.3472486072802932</v>
      </c>
    </row>
    <row r="105" spans="1:9" x14ac:dyDescent="0.25">
      <c r="A105" t="s">
        <v>35</v>
      </c>
      <c r="B105">
        <v>99762752</v>
      </c>
      <c r="C105">
        <v>0.1153205401772984</v>
      </c>
      <c r="D105">
        <v>-0.11278756587773529</v>
      </c>
      <c r="E105">
        <v>2.4103600339958411</v>
      </c>
      <c r="F105">
        <v>-1.5804995510935089</v>
      </c>
      <c r="G105">
        <v>0.1153205401772984</v>
      </c>
      <c r="H105">
        <v>0.41356331649789779</v>
      </c>
      <c r="I105">
        <v>-5.2871223972039481</v>
      </c>
    </row>
  </sheetData>
  <autoFilter ref="A1:I1">
    <sortState ref="A2:I105">
      <sortCondition ref="B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D25"/>
  <sheetViews>
    <sheetView workbookViewId="0">
      <selection activeCell="C25" sqref="C25"/>
    </sheetView>
  </sheetViews>
  <sheetFormatPr baseColWidth="10" defaultColWidth="9.140625" defaultRowHeight="15" x14ac:dyDescent="0.25"/>
  <cols>
    <col min="1" max="1" width="15.7109375" customWidth="1"/>
    <col min="3" max="3" width="18.42578125" customWidth="1"/>
    <col min="6" max="6" width="13.85546875" customWidth="1"/>
    <col min="7" max="7" width="18.42578125" customWidth="1"/>
    <col min="8" max="8" width="16.42578125" customWidth="1"/>
    <col min="10" max="108" width="9.140625" style="4"/>
  </cols>
  <sheetData>
    <row r="1" spans="1:108" s="1" customFormat="1" x14ac:dyDescent="0.25">
      <c r="A1" s="1" t="s">
        <v>0</v>
      </c>
      <c r="B1" s="1" t="s">
        <v>111</v>
      </c>
      <c r="C1" s="1" t="s">
        <v>4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</row>
    <row r="2" spans="1:108" x14ac:dyDescent="0.25">
      <c r="A2" s="5" t="s">
        <v>89</v>
      </c>
      <c r="B2">
        <v>99619591</v>
      </c>
      <c r="C2">
        <v>0.76305015736820092</v>
      </c>
      <c r="D2">
        <v>-3.001011208139015E-2</v>
      </c>
      <c r="E2">
        <v>5.208117740146629</v>
      </c>
      <c r="F2">
        <v>-0.30182352958724917</v>
      </c>
      <c r="G2">
        <v>0.76305015736820092</v>
      </c>
      <c r="H2">
        <v>0.93305627374023525</v>
      </c>
      <c r="I2">
        <v>-6.4627187245165878</v>
      </c>
    </row>
    <row r="3" spans="1:108" x14ac:dyDescent="0.25">
      <c r="A3" s="5" t="s">
        <v>79</v>
      </c>
      <c r="B3">
        <v>99619632</v>
      </c>
      <c r="C3">
        <v>0.67737600848761859</v>
      </c>
      <c r="D3">
        <v>-1.9511403178243219E-2</v>
      </c>
      <c r="E3">
        <v>3.5319268236515131</v>
      </c>
      <c r="F3">
        <v>-0.41655957296340818</v>
      </c>
      <c r="G3">
        <v>0.67737600848761859</v>
      </c>
      <c r="H3">
        <v>0.93305627374023525</v>
      </c>
      <c r="I3">
        <v>-6.422259599076706</v>
      </c>
    </row>
    <row r="4" spans="1:108" x14ac:dyDescent="0.25">
      <c r="A4" s="5" t="s">
        <v>61</v>
      </c>
      <c r="B4">
        <v>99620021</v>
      </c>
      <c r="C4">
        <v>0.44669067817730479</v>
      </c>
      <c r="D4">
        <v>2.2738570570198902E-2</v>
      </c>
      <c r="E4">
        <v>2.9619856418439889</v>
      </c>
      <c r="F4">
        <v>0.76220780400533339</v>
      </c>
      <c r="G4">
        <v>0.44669067817730479</v>
      </c>
      <c r="H4">
        <v>0.83529528059787028</v>
      </c>
      <c r="I4">
        <v>-6.2224727722880218</v>
      </c>
    </row>
    <row r="5" spans="1:108" x14ac:dyDescent="0.25">
      <c r="A5" s="5" t="s">
        <v>13</v>
      </c>
      <c r="B5">
        <v>99623197</v>
      </c>
      <c r="C5">
        <v>1.544591904160589E-3</v>
      </c>
      <c r="D5">
        <v>-0.1846912141902515</v>
      </c>
      <c r="E5">
        <v>0.92067813815509281</v>
      </c>
      <c r="F5">
        <v>-3.203228718492372</v>
      </c>
      <c r="G5">
        <v>1.544591904160589E-3</v>
      </c>
      <c r="H5">
        <v>2.2807190880447539E-2</v>
      </c>
      <c r="I5">
        <v>-1.575911060064656</v>
      </c>
    </row>
    <row r="6" spans="1:108" x14ac:dyDescent="0.25">
      <c r="A6" s="5" t="s">
        <v>15</v>
      </c>
      <c r="B6">
        <v>99623352</v>
      </c>
      <c r="C6">
        <v>3.4968839445664781E-3</v>
      </c>
      <c r="D6">
        <v>-0.13739131969612631</v>
      </c>
      <c r="E6">
        <v>1.0593802044056779</v>
      </c>
      <c r="F6">
        <v>-2.949805393187404</v>
      </c>
      <c r="G6">
        <v>3.4968839445664781E-3</v>
      </c>
      <c r="H6">
        <v>4.0408436692768189E-2</v>
      </c>
      <c r="I6">
        <v>-2.3117832116013219</v>
      </c>
    </row>
    <row r="7" spans="1:108" x14ac:dyDescent="0.25">
      <c r="A7" s="5" t="s">
        <v>10</v>
      </c>
      <c r="B7" s="2">
        <v>99624258</v>
      </c>
      <c r="C7" s="2">
        <v>2.32907204500575E-4</v>
      </c>
      <c r="D7" s="2">
        <v>-0.33308626495512172</v>
      </c>
      <c r="E7" s="2">
        <v>2.705124637727645</v>
      </c>
      <c r="F7" s="2">
        <v>-3.737364279180313</v>
      </c>
      <c r="G7" s="2">
        <v>2.32907204500575E-4</v>
      </c>
      <c r="H7" s="2">
        <v>6.055587317014951E-3</v>
      </c>
      <c r="I7" s="2">
        <v>0.15478128899010371</v>
      </c>
    </row>
    <row r="8" spans="1:108" x14ac:dyDescent="0.25">
      <c r="A8" s="5" t="s">
        <v>16</v>
      </c>
      <c r="B8">
        <v>99624484</v>
      </c>
      <c r="C8">
        <v>6.6252515277072082E-3</v>
      </c>
      <c r="D8">
        <v>-7.2106166737286412E-2</v>
      </c>
      <c r="E8">
        <v>-0.30798330023274278</v>
      </c>
      <c r="F8">
        <v>-2.7391898588059518</v>
      </c>
      <c r="G8">
        <v>6.6252515277072082E-3</v>
      </c>
      <c r="H8">
        <v>6.8902615888154967E-2</v>
      </c>
      <c r="I8">
        <v>-2.8804697735521279</v>
      </c>
    </row>
    <row r="9" spans="1:108" x14ac:dyDescent="0.25">
      <c r="A9" s="5" t="s">
        <v>21</v>
      </c>
      <c r="B9">
        <v>99624573</v>
      </c>
      <c r="C9">
        <v>3.2290147646063957E-2</v>
      </c>
      <c r="D9">
        <v>-0.1015484959660829</v>
      </c>
      <c r="E9">
        <v>-1.174762428372873</v>
      </c>
      <c r="F9">
        <v>-2.15342659760827</v>
      </c>
      <c r="G9">
        <v>3.2290147646063957E-2</v>
      </c>
      <c r="H9">
        <v>0.22387835701271011</v>
      </c>
      <c r="I9">
        <v>-4.252286796547553</v>
      </c>
    </row>
    <row r="10" spans="1:108" x14ac:dyDescent="0.25">
      <c r="A10" s="5" t="s">
        <v>12</v>
      </c>
      <c r="B10">
        <v>99624836</v>
      </c>
      <c r="C10">
        <v>9.9040057396331091E-4</v>
      </c>
      <c r="D10">
        <v>-0.13828972072812309</v>
      </c>
      <c r="E10">
        <v>0.71182757276228192</v>
      </c>
      <c r="F10">
        <v>-3.3346827970346951</v>
      </c>
      <c r="G10">
        <v>9.9040057396331091E-4</v>
      </c>
      <c r="H10">
        <v>1.7166943282030719E-2</v>
      </c>
      <c r="I10">
        <v>-1.1723462230559181</v>
      </c>
    </row>
    <row r="11" spans="1:108" x14ac:dyDescent="0.25">
      <c r="A11" s="5" t="s">
        <v>69</v>
      </c>
      <c r="B11">
        <v>99626069</v>
      </c>
      <c r="C11">
        <v>0.56048095746666615</v>
      </c>
      <c r="D11">
        <v>3.6809543984178149E-2</v>
      </c>
      <c r="E11">
        <v>5.0622570189253588</v>
      </c>
      <c r="F11">
        <v>0.58294691395192355</v>
      </c>
      <c r="G11">
        <v>0.56048095746666615</v>
      </c>
      <c r="H11">
        <v>0.92523840597671869</v>
      </c>
      <c r="I11">
        <v>-6.3406700141995307</v>
      </c>
    </row>
    <row r="12" spans="1:108" x14ac:dyDescent="0.25">
      <c r="A12" s="5" t="s">
        <v>20</v>
      </c>
      <c r="B12">
        <v>99629747</v>
      </c>
      <c r="C12">
        <v>2.0366321501803581E-2</v>
      </c>
      <c r="D12">
        <v>-6.7589582185984404E-2</v>
      </c>
      <c r="E12">
        <v>2.5769054773763989</v>
      </c>
      <c r="F12">
        <v>-2.3351752205570859</v>
      </c>
      <c r="G12">
        <v>2.0366321501803581E-2</v>
      </c>
      <c r="H12">
        <v>0.15129267401339799</v>
      </c>
      <c r="I12">
        <v>-3.8601126095797751</v>
      </c>
    </row>
    <row r="13" spans="1:108" x14ac:dyDescent="0.25">
      <c r="A13" s="5" t="s">
        <v>36</v>
      </c>
      <c r="B13">
        <v>99629814</v>
      </c>
      <c r="C13">
        <v>0.1325551558561272</v>
      </c>
      <c r="D13">
        <v>-4.5109229253588012E-2</v>
      </c>
      <c r="E13">
        <v>2.4891595018450068</v>
      </c>
      <c r="F13">
        <v>-1.509273974888977</v>
      </c>
      <c r="G13">
        <v>0.1325551558561272</v>
      </c>
      <c r="H13">
        <v>0.4595245403012409</v>
      </c>
      <c r="I13">
        <v>-5.394111372495078</v>
      </c>
    </row>
    <row r="14" spans="1:108" x14ac:dyDescent="0.25">
      <c r="A14" s="5" t="s">
        <v>86</v>
      </c>
      <c r="B14">
        <v>99629883</v>
      </c>
      <c r="C14">
        <v>0.74378366429001996</v>
      </c>
      <c r="D14">
        <v>1.4313152752466409E-2</v>
      </c>
      <c r="E14">
        <v>4.0584672425880051</v>
      </c>
      <c r="F14">
        <v>0.32722721179039299</v>
      </c>
      <c r="G14">
        <v>0.74378366429001996</v>
      </c>
      <c r="H14">
        <v>0.93305627374023525</v>
      </c>
      <c r="I14">
        <v>-6.4548735108915656</v>
      </c>
    </row>
    <row r="15" spans="1:108" x14ac:dyDescent="0.25">
      <c r="A15" s="5" t="s">
        <v>42</v>
      </c>
      <c r="B15">
        <v>99629892</v>
      </c>
      <c r="C15">
        <v>0.21500106965573759</v>
      </c>
      <c r="D15">
        <v>5.732835919006124E-2</v>
      </c>
      <c r="E15">
        <v>4.7207731893250306</v>
      </c>
      <c r="F15">
        <v>1.243244416978875</v>
      </c>
      <c r="G15">
        <v>0.21500106965573759</v>
      </c>
      <c r="H15">
        <v>0.62111420122768624</v>
      </c>
      <c r="I15">
        <v>-5.7508226987457114</v>
      </c>
    </row>
    <row r="16" spans="1:108" x14ac:dyDescent="0.25">
      <c r="A16" s="5" t="s">
        <v>7</v>
      </c>
      <c r="B16" s="2">
        <v>99631817</v>
      </c>
      <c r="C16" s="2">
        <v>3.0256543501796509E-6</v>
      </c>
      <c r="D16" s="2">
        <v>-0.2259771522720595</v>
      </c>
      <c r="E16" s="2">
        <v>1.960020026634794</v>
      </c>
      <c r="F16" s="2">
        <v>-4.783271787435166</v>
      </c>
      <c r="G16" s="2">
        <v>3.0256543501796509E-6</v>
      </c>
      <c r="H16" s="2">
        <v>3.146680524186837E-4</v>
      </c>
      <c r="I16" s="2">
        <v>4.2108294361636887</v>
      </c>
    </row>
    <row r="17" spans="1:9" x14ac:dyDescent="0.25">
      <c r="A17" s="5" t="s">
        <v>8</v>
      </c>
      <c r="B17" s="2">
        <v>99632027</v>
      </c>
      <c r="C17" s="2">
        <v>4.2905682652887001E-5</v>
      </c>
      <c r="D17" s="2">
        <v>-0.29744763491443321</v>
      </c>
      <c r="E17" s="2">
        <v>3.9463294246043592</v>
      </c>
      <c r="F17" s="2">
        <v>-4.1687519942095994</v>
      </c>
      <c r="G17" s="2">
        <v>4.2905682652887001E-5</v>
      </c>
      <c r="H17" s="2">
        <v>2.2310954979501241E-3</v>
      </c>
      <c r="I17" s="2">
        <v>1.724145578942947</v>
      </c>
    </row>
    <row r="18" spans="1:9" x14ac:dyDescent="0.25">
      <c r="A18" s="5" t="s">
        <v>9</v>
      </c>
      <c r="B18" s="2">
        <v>99637506</v>
      </c>
      <c r="C18" s="2">
        <v>7.2126135995871093E-5</v>
      </c>
      <c r="D18" s="2">
        <v>0.35900408931545352</v>
      </c>
      <c r="E18" s="2">
        <v>-2.118682333219871</v>
      </c>
      <c r="F18" s="2">
        <v>4.040118247018273</v>
      </c>
      <c r="G18" s="2">
        <v>7.2126135995871093E-5</v>
      </c>
      <c r="H18" s="2">
        <v>2.5003727145235309E-3</v>
      </c>
      <c r="I18" s="2">
        <v>1.2405667338178841</v>
      </c>
    </row>
    <row r="19" spans="1:9" x14ac:dyDescent="0.25">
      <c r="A19" s="5" t="s">
        <v>52</v>
      </c>
      <c r="B19">
        <v>99639000</v>
      </c>
      <c r="C19">
        <v>0.34989514501974223</v>
      </c>
      <c r="D19">
        <v>-4.0672369349458608E-2</v>
      </c>
      <c r="E19">
        <v>4.786280987394802</v>
      </c>
      <c r="F19">
        <v>-0.93663621839429745</v>
      </c>
      <c r="G19">
        <v>0.34989514501974223</v>
      </c>
      <c r="H19">
        <v>0.79106728439246055</v>
      </c>
      <c r="I19">
        <v>-6.0773884551457611</v>
      </c>
    </row>
    <row r="20" spans="1:9" x14ac:dyDescent="0.25">
      <c r="A20" s="5" t="s">
        <v>51</v>
      </c>
      <c r="B20">
        <v>99649549</v>
      </c>
      <c r="C20">
        <v>0.34663668691296379</v>
      </c>
      <c r="D20">
        <v>6.1210255758211443E-2</v>
      </c>
      <c r="E20">
        <v>4.2794675056168128</v>
      </c>
      <c r="F20">
        <v>0.94300087436026936</v>
      </c>
      <c r="G20">
        <v>0.34663668691296379</v>
      </c>
      <c r="H20">
        <v>0.79106728439246055</v>
      </c>
      <c r="I20">
        <v>-6.0715350019542864</v>
      </c>
    </row>
    <row r="21" spans="1:9" x14ac:dyDescent="0.25">
      <c r="A21" s="5" t="s">
        <v>110</v>
      </c>
      <c r="B21">
        <v>99677717</v>
      </c>
      <c r="C21">
        <v>0.99001620507344046</v>
      </c>
      <c r="D21">
        <v>-1.1906384295095739E-3</v>
      </c>
      <c r="E21">
        <v>5.804755090567232</v>
      </c>
      <c r="F21">
        <v>-1.2526310708702439E-2</v>
      </c>
      <c r="G21">
        <v>0.99001620507344046</v>
      </c>
      <c r="H21">
        <v>0.99001620507344046</v>
      </c>
      <c r="I21">
        <v>-6.5073747002485316</v>
      </c>
    </row>
    <row r="22" spans="1:9" x14ac:dyDescent="0.25">
      <c r="A22" s="5" t="s">
        <v>41</v>
      </c>
      <c r="B22">
        <v>99679305</v>
      </c>
      <c r="C22">
        <v>0.2020933054931891</v>
      </c>
      <c r="D22">
        <v>7.3822348342796953E-2</v>
      </c>
      <c r="E22">
        <v>1.649476120329437</v>
      </c>
      <c r="F22">
        <v>1.2791404387745791</v>
      </c>
      <c r="G22">
        <v>0.2020933054931891</v>
      </c>
      <c r="H22">
        <v>0.60050582203690472</v>
      </c>
      <c r="I22">
        <v>-5.7066546631781314</v>
      </c>
    </row>
    <row r="23" spans="1:9" x14ac:dyDescent="0.25">
      <c r="A23" s="5" t="s">
        <v>67</v>
      </c>
      <c r="B23">
        <v>99680355</v>
      </c>
      <c r="C23">
        <v>0.53294044021886688</v>
      </c>
      <c r="D23">
        <v>2.2708353364491281E-2</v>
      </c>
      <c r="E23">
        <v>1.829613930993065</v>
      </c>
      <c r="F23">
        <v>0.62443442001714722</v>
      </c>
      <c r="G23">
        <v>0.53294044021886688</v>
      </c>
      <c r="H23">
        <v>0.90861976693052704</v>
      </c>
      <c r="I23">
        <v>-6.3161065786381334</v>
      </c>
    </row>
    <row r="24" spans="1:9" x14ac:dyDescent="0.25">
      <c r="A24" s="5" t="s">
        <v>80</v>
      </c>
      <c r="B24">
        <v>99694738</v>
      </c>
      <c r="C24">
        <v>0.69955134233850846</v>
      </c>
      <c r="D24">
        <v>3.1207665031432859E-2</v>
      </c>
      <c r="E24">
        <v>5.5224338480684363</v>
      </c>
      <c r="F24">
        <v>0.38639232359137238</v>
      </c>
      <c r="G24">
        <v>0.69955134233850846</v>
      </c>
      <c r="H24">
        <v>0.93305627374023525</v>
      </c>
      <c r="I24">
        <v>-6.4341482211852288</v>
      </c>
    </row>
    <row r="25" spans="1:9" x14ac:dyDescent="0.25">
      <c r="A25" s="5" t="s">
        <v>91</v>
      </c>
      <c r="B25">
        <v>99705358</v>
      </c>
      <c r="C25">
        <v>0.77175819222989828</v>
      </c>
      <c r="D25">
        <v>-2.824402714832102E-2</v>
      </c>
      <c r="E25">
        <v>3.4013537382529861</v>
      </c>
      <c r="F25">
        <v>-0.29040644348551969</v>
      </c>
      <c r="G25">
        <v>0.77175819222989828</v>
      </c>
      <c r="H25">
        <v>0.93305627374023525</v>
      </c>
      <c r="I25">
        <v>-6.4660383514347766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"/>
  <sheetViews>
    <sheetView tabSelected="1" workbookViewId="0">
      <selection activeCell="Y3" sqref="Y3"/>
    </sheetView>
  </sheetViews>
  <sheetFormatPr baseColWidth="10" defaultRowHeight="15" x14ac:dyDescent="0.25"/>
  <cols>
    <col min="1" max="1" width="14.5703125" customWidth="1"/>
  </cols>
  <sheetData>
    <row r="1" spans="1:25" x14ac:dyDescent="0.25">
      <c r="A1" t="s">
        <v>0</v>
      </c>
      <c r="B1" s="5" t="s">
        <v>89</v>
      </c>
      <c r="C1" s="5" t="s">
        <v>79</v>
      </c>
      <c r="D1" s="5" t="s">
        <v>61</v>
      </c>
      <c r="E1" s="5" t="s">
        <v>13</v>
      </c>
      <c r="F1" s="5" t="s">
        <v>15</v>
      </c>
      <c r="G1" s="5" t="s">
        <v>10</v>
      </c>
      <c r="H1" s="5" t="s">
        <v>16</v>
      </c>
      <c r="I1" s="5" t="s">
        <v>21</v>
      </c>
      <c r="J1" s="5" t="s">
        <v>12</v>
      </c>
      <c r="K1" s="5" t="s">
        <v>69</v>
      </c>
      <c r="L1" s="5" t="s">
        <v>20</v>
      </c>
      <c r="M1" s="5" t="s">
        <v>36</v>
      </c>
      <c r="N1" s="5" t="s">
        <v>86</v>
      </c>
      <c r="O1" s="5" t="s">
        <v>42</v>
      </c>
      <c r="P1" s="5" t="s">
        <v>7</v>
      </c>
      <c r="Q1" s="5" t="s">
        <v>8</v>
      </c>
      <c r="R1" s="5" t="s">
        <v>9</v>
      </c>
      <c r="S1" s="5" t="s">
        <v>52</v>
      </c>
      <c r="T1" s="5" t="s">
        <v>51</v>
      </c>
      <c r="U1" s="5" t="s">
        <v>110</v>
      </c>
      <c r="V1" s="5" t="s">
        <v>41</v>
      </c>
      <c r="W1" s="5" t="s">
        <v>67</v>
      </c>
      <c r="X1" s="5" t="s">
        <v>80</v>
      </c>
      <c r="Y1" s="5" t="s">
        <v>91</v>
      </c>
    </row>
    <row r="2" spans="1:25" x14ac:dyDescent="0.25">
      <c r="A2" t="s">
        <v>113</v>
      </c>
      <c r="B2">
        <f>LOG(0.763050157368201)</f>
        <v>-0.11744691374591827</v>
      </c>
      <c r="C2">
        <f>LOG(0.677376008487619)</f>
        <v>-0.16917018939489578</v>
      </c>
      <c r="D2">
        <f>LOG(0.446690678177305)</f>
        <v>-0.34999311056465093</v>
      </c>
      <c r="E2">
        <f>LOG(0.00154459190416059)</f>
        <v>-2.8111862458071104</v>
      </c>
      <c r="F2">
        <f>LOG(0.00349688394456648)</f>
        <v>-2.456318780922309</v>
      </c>
      <c r="G2" s="2">
        <f>LOG(0.000232907204500575)</f>
        <v>-3.63281707725986</v>
      </c>
      <c r="H2">
        <f>LOG(0.00662525152770721)</f>
        <v>-2.1787976290859974</v>
      </c>
      <c r="I2">
        <f>LOG(0.032290147646064)</f>
        <v>-1.4909299691753355</v>
      </c>
      <c r="J2">
        <f>LOG(0.000990400573963311)</f>
        <v>-3.0041891166387527</v>
      </c>
      <c r="K2">
        <f>LOG(0.560480957466666)</f>
        <v>-0.2514391381227743</v>
      </c>
      <c r="L2">
        <f>LOG(0.0203663215018036)</f>
        <v>-1.6910874047618367</v>
      </c>
      <c r="M2">
        <f>LOG(0.132555155856127)</f>
        <v>-0.87760337531438248</v>
      </c>
      <c r="N2">
        <f>LOG(0.74378366429002)</f>
        <v>-0.12855336427579592</v>
      </c>
      <c r="O2">
        <f>LOG(0.215001069655738)</f>
        <v>-0.66755937941263199</v>
      </c>
      <c r="P2" s="2">
        <f>LOG(3.02565435017965E-06)</f>
        <v>-5.5191806871468705</v>
      </c>
      <c r="Q2" s="2">
        <f>LOG(0.000042905682652887)</f>
        <v>-4.3674851837744733</v>
      </c>
      <c r="R2" s="2">
        <f>LOG(0.0000721261359958711)</f>
        <v>-4.1419073335886827</v>
      </c>
      <c r="S2">
        <f>LOG(0.349895145019742)</f>
        <v>-0.45606208354099737</v>
      </c>
      <c r="T2">
        <f>LOG(0.346636686912964)</f>
        <v>-0.46012547485728977</v>
      </c>
      <c r="U2">
        <f>LOG(0.99001620507344)</f>
        <v>-4.3576965980312533E-3</v>
      </c>
      <c r="V2">
        <f>LOG(0.202093305493189)</f>
        <v>-0.694448072608008</v>
      </c>
      <c r="W2">
        <f>LOG(0.532940440218867)</f>
        <v>-0.27332132367439371</v>
      </c>
      <c r="X2">
        <f>LOG(0.699551342338508)</f>
        <v>-0.15518040572393052</v>
      </c>
      <c r="Y2">
        <f>LOG(0.771758192229898)</f>
        <v>-0.11251875177608295</v>
      </c>
    </row>
    <row r="3" spans="1:25" x14ac:dyDescent="0.25">
      <c r="A3" t="s">
        <v>112</v>
      </c>
      <c r="B3">
        <v>0.76305015736820092</v>
      </c>
      <c r="C3">
        <v>0.67737600848761859</v>
      </c>
      <c r="D3">
        <v>0.44669067817730479</v>
      </c>
      <c r="E3">
        <v>1.544591904160589E-3</v>
      </c>
      <c r="F3">
        <v>3.4968839445664781E-3</v>
      </c>
      <c r="G3" s="2">
        <v>2.32907204500575E-4</v>
      </c>
      <c r="H3">
        <v>6.6252515277072082E-3</v>
      </c>
      <c r="I3">
        <v>3.2290147646063957E-2</v>
      </c>
      <c r="J3">
        <v>9.9040057396331091E-4</v>
      </c>
      <c r="K3">
        <v>0.56048095746666615</v>
      </c>
      <c r="L3">
        <v>2.0366321501803581E-2</v>
      </c>
      <c r="M3">
        <v>0.1325551558561272</v>
      </c>
      <c r="N3">
        <v>0.74378366429001996</v>
      </c>
      <c r="O3">
        <v>0.21500106965573759</v>
      </c>
      <c r="P3" s="2">
        <v>3.0256543501796509E-6</v>
      </c>
      <c r="Q3" s="2">
        <v>4.2905682652887001E-5</v>
      </c>
      <c r="R3" s="2">
        <v>7.2126135995871093E-5</v>
      </c>
      <c r="S3">
        <v>0.34989514501974223</v>
      </c>
      <c r="T3">
        <v>0.34663668691296379</v>
      </c>
      <c r="U3">
        <v>0.99001620507344046</v>
      </c>
      <c r="V3">
        <v>0.2020933054931891</v>
      </c>
      <c r="W3">
        <v>0.53294044021886688</v>
      </c>
      <c r="X3">
        <v>0.69955134233850846</v>
      </c>
      <c r="Y3">
        <v>0.77175819222989828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DMPs </vt:lpstr>
      <vt:lpstr>Zona DMR</vt:lpstr>
      <vt:lpstr>Ballon plot horizontal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CBM</cp:lastModifiedBy>
  <dcterms:created xsi:type="dcterms:W3CDTF">2026-06-02T07:57:27Z</dcterms:created>
  <dcterms:modified xsi:type="dcterms:W3CDTF">2026-06-02T10:14:00Z</dcterms:modified>
</cp:coreProperties>
</file>